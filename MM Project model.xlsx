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9b90f4dd225b2b/Documents/"/>
    </mc:Choice>
  </mc:AlternateContent>
  <xr:revisionPtr revIDLastSave="11" documentId="8_{913B8A41-8BCB-4B7D-A6E6-56552E40D0B3}" xr6:coauthVersionLast="47" xr6:coauthVersionMax="47" xr10:uidLastSave="{C57BE4D5-7918-4E67-8420-A5FD18AF140F}"/>
  <bookViews>
    <workbookView xWindow="-108" yWindow="-108" windowWidth="23256" windowHeight="12456" xr2:uid="{AC957840-8D99-44B7-8EEB-4AF2F8C25E7A}"/>
  </bookViews>
  <sheets>
    <sheet name="M&amp;M PROJECT 3 Statement" sheetId="2" r:id="rId1"/>
    <sheet name="Common size statement" sheetId="3" r:id="rId2"/>
    <sheet name="Ratio Analysis" sheetId="4" r:id="rId3"/>
    <sheet name="DCF (WACC)" sheetId="5" r:id="rId4"/>
    <sheet name="Beta-Regression" sheetId="6" r:id="rId5"/>
  </sheets>
  <externalReferences>
    <externalReference r:id="rId6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D10" i="6"/>
  <c r="P8" i="6" s="1"/>
  <c r="L8" i="6" s="1"/>
  <c r="L14" i="6" s="1"/>
  <c r="H10" i="6"/>
  <c r="D11" i="6"/>
  <c r="H11" i="6"/>
  <c r="D12" i="6"/>
  <c r="H12" i="6"/>
  <c r="D13" i="6"/>
  <c r="H13" i="6"/>
  <c r="D14" i="6"/>
  <c r="H14" i="6"/>
  <c r="D15" i="6"/>
  <c r="H15" i="6"/>
  <c r="D16" i="6"/>
  <c r="H16" i="6"/>
  <c r="D17" i="6"/>
  <c r="H17" i="6"/>
  <c r="D18" i="6"/>
  <c r="H18" i="6"/>
  <c r="D19" i="6"/>
  <c r="H19" i="6"/>
  <c r="D20" i="6"/>
  <c r="H20" i="6"/>
  <c r="D21" i="6"/>
  <c r="H21" i="6"/>
  <c r="D22" i="6"/>
  <c r="H22" i="6"/>
  <c r="D23" i="6"/>
  <c r="H23" i="6"/>
  <c r="D24" i="6"/>
  <c r="H24" i="6"/>
  <c r="D25" i="6"/>
  <c r="H25" i="6"/>
  <c r="D26" i="6"/>
  <c r="H26" i="6"/>
  <c r="D27" i="6"/>
  <c r="H27" i="6"/>
  <c r="D28" i="6"/>
  <c r="H28" i="6"/>
  <c r="D29" i="6"/>
  <c r="H29" i="6"/>
  <c r="D30" i="6"/>
  <c r="H30" i="6"/>
  <c r="D31" i="6"/>
  <c r="H31" i="6"/>
  <c r="D32" i="6"/>
  <c r="H32" i="6"/>
  <c r="D33" i="6"/>
  <c r="H33" i="6"/>
  <c r="D34" i="6"/>
  <c r="H34" i="6"/>
  <c r="D35" i="6"/>
  <c r="H35" i="6"/>
  <c r="D36" i="6"/>
  <c r="H36" i="6"/>
  <c r="D37" i="6"/>
  <c r="H37" i="6"/>
  <c r="D38" i="6"/>
  <c r="H38" i="6"/>
  <c r="D39" i="6"/>
  <c r="H39" i="6"/>
  <c r="D40" i="6"/>
  <c r="H40" i="6"/>
  <c r="D41" i="6"/>
  <c r="H41" i="6"/>
  <c r="D42" i="6"/>
  <c r="H42" i="6"/>
  <c r="D43" i="6"/>
  <c r="H43" i="6"/>
  <c r="D44" i="6"/>
  <c r="H44" i="6"/>
  <c r="D45" i="6"/>
  <c r="H45" i="6"/>
  <c r="D46" i="6"/>
  <c r="H46" i="6"/>
  <c r="D47" i="6"/>
  <c r="H47" i="6"/>
  <c r="D48" i="6"/>
  <c r="H48" i="6"/>
  <c r="D49" i="6"/>
  <c r="H49" i="6"/>
  <c r="D50" i="6"/>
  <c r="H50" i="6"/>
  <c r="D51" i="6"/>
  <c r="H51" i="6"/>
  <c r="D52" i="6"/>
  <c r="H52" i="6"/>
  <c r="D53" i="6"/>
  <c r="H53" i="6"/>
  <c r="D54" i="6"/>
  <c r="H54" i="6"/>
  <c r="D55" i="6"/>
  <c r="H55" i="6"/>
  <c r="D56" i="6"/>
  <c r="H56" i="6"/>
  <c r="D57" i="6"/>
  <c r="H57" i="6"/>
  <c r="D58" i="6"/>
  <c r="H58" i="6"/>
  <c r="D59" i="6"/>
  <c r="H59" i="6"/>
  <c r="D60" i="6"/>
  <c r="H60" i="6"/>
  <c r="D61" i="6"/>
  <c r="H61" i="6"/>
  <c r="D62" i="6"/>
  <c r="H62" i="6"/>
  <c r="D63" i="6"/>
  <c r="H63" i="6"/>
  <c r="D64" i="6"/>
  <c r="H64" i="6"/>
  <c r="D65" i="6"/>
  <c r="H65" i="6"/>
  <c r="D66" i="6"/>
  <c r="H66" i="6"/>
  <c r="D67" i="6"/>
  <c r="H67" i="6"/>
  <c r="D68" i="6"/>
  <c r="H68" i="6"/>
  <c r="D69" i="6"/>
  <c r="H69" i="6"/>
  <c r="D70" i="6"/>
  <c r="H70" i="6"/>
  <c r="D71" i="6"/>
  <c r="H71" i="6"/>
  <c r="D72" i="6"/>
  <c r="H72" i="6"/>
  <c r="D73" i="6"/>
  <c r="H73" i="6"/>
  <c r="D74" i="6"/>
  <c r="H74" i="6"/>
  <c r="D75" i="6"/>
  <c r="H75" i="6"/>
  <c r="D76" i="6"/>
  <c r="H76" i="6"/>
  <c r="D77" i="6"/>
  <c r="H77" i="6"/>
  <c r="D78" i="6"/>
  <c r="H78" i="6"/>
  <c r="D79" i="6"/>
  <c r="H79" i="6"/>
  <c r="D80" i="6"/>
  <c r="H80" i="6"/>
  <c r="D81" i="6"/>
  <c r="H81" i="6"/>
  <c r="D82" i="6"/>
  <c r="H82" i="6"/>
  <c r="D83" i="6"/>
  <c r="H83" i="6"/>
  <c r="D84" i="6"/>
  <c r="H84" i="6"/>
  <c r="D85" i="6"/>
  <c r="H85" i="6"/>
  <c r="D86" i="6"/>
  <c r="H86" i="6"/>
  <c r="D87" i="6"/>
  <c r="H87" i="6"/>
  <c r="D88" i="6"/>
  <c r="H88" i="6"/>
  <c r="D89" i="6"/>
  <c r="H89" i="6"/>
  <c r="D90" i="6"/>
  <c r="H90" i="6"/>
  <c r="D91" i="6"/>
  <c r="H91" i="6"/>
  <c r="D92" i="6"/>
  <c r="H92" i="6"/>
  <c r="D93" i="6"/>
  <c r="H93" i="6"/>
  <c r="D94" i="6"/>
  <c r="H94" i="6"/>
  <c r="D95" i="6"/>
  <c r="H95" i="6"/>
  <c r="D96" i="6"/>
  <c r="H96" i="6"/>
  <c r="D97" i="6"/>
  <c r="H97" i="6"/>
  <c r="D98" i="6"/>
  <c r="H98" i="6"/>
  <c r="D99" i="6"/>
  <c r="H99" i="6"/>
  <c r="D100" i="6"/>
  <c r="H100" i="6"/>
  <c r="D101" i="6"/>
  <c r="H101" i="6"/>
  <c r="D102" i="6"/>
  <c r="H102" i="6"/>
  <c r="D103" i="6"/>
  <c r="H103" i="6"/>
  <c r="D104" i="6"/>
  <c r="H104" i="6"/>
  <c r="D105" i="6"/>
  <c r="H105" i="6"/>
  <c r="D106" i="6"/>
  <c r="H106" i="6"/>
  <c r="D107" i="6"/>
  <c r="H107" i="6"/>
  <c r="D108" i="6"/>
  <c r="H108" i="6"/>
  <c r="D109" i="6"/>
  <c r="H109" i="6"/>
  <c r="D110" i="6"/>
  <c r="H110" i="6"/>
  <c r="D111" i="6"/>
  <c r="H111" i="6"/>
  <c r="D112" i="6"/>
  <c r="H112" i="6"/>
  <c r="D113" i="6"/>
  <c r="H113" i="6"/>
  <c r="G14" i="5"/>
  <c r="H14" i="5"/>
  <c r="J14" i="5"/>
  <c r="G15" i="5"/>
  <c r="H15" i="5"/>
  <c r="J15" i="5"/>
  <c r="G16" i="5"/>
  <c r="H16" i="5"/>
  <c r="J16" i="5"/>
  <c r="G17" i="5"/>
  <c r="H17" i="5"/>
  <c r="J17" i="5"/>
  <c r="G18" i="5"/>
  <c r="H18" i="5"/>
  <c r="J18" i="5"/>
  <c r="F20" i="5"/>
  <c r="G20" i="5"/>
  <c r="H20" i="5"/>
  <c r="I20" i="5"/>
  <c r="J20" i="5"/>
  <c r="F21" i="5"/>
  <c r="G21" i="5"/>
  <c r="H21" i="5"/>
  <c r="I21" i="5"/>
  <c r="J21" i="5"/>
  <c r="E28" i="5"/>
  <c r="J34" i="5"/>
  <c r="D36" i="5"/>
  <c r="E36" i="5"/>
  <c r="E37" i="5" s="1"/>
  <c r="D37" i="5"/>
  <c r="D39" i="5"/>
  <c r="E39" i="5"/>
  <c r="J35" i="5" s="1"/>
  <c r="J37" i="5" s="1"/>
  <c r="J28" i="5" s="1"/>
  <c r="J29" i="5" s="1"/>
  <c r="I43" i="5" s="1"/>
  <c r="J43" i="5" s="1"/>
  <c r="H42" i="5"/>
  <c r="I42" i="5"/>
  <c r="J42" i="5" s="1"/>
  <c r="H43" i="5"/>
  <c r="E5" i="4"/>
  <c r="F5" i="4"/>
  <c r="G5" i="4"/>
  <c r="H5" i="4"/>
  <c r="E6" i="4"/>
  <c r="F6" i="4"/>
  <c r="G6" i="4"/>
  <c r="H6" i="4"/>
  <c r="E7" i="4"/>
  <c r="F7" i="4"/>
  <c r="G7" i="4"/>
  <c r="H7" i="4"/>
  <c r="E8" i="4"/>
  <c r="F8" i="4"/>
  <c r="G8" i="4"/>
  <c r="H8" i="4"/>
  <c r="D9" i="4"/>
  <c r="E9" i="4"/>
  <c r="F9" i="4"/>
  <c r="G9" i="4"/>
  <c r="H9" i="4"/>
  <c r="J9" i="4"/>
  <c r="K9" i="4"/>
  <c r="D11" i="4"/>
  <c r="E11" i="4"/>
  <c r="F11" i="4"/>
  <c r="G11" i="4"/>
  <c r="H11" i="4"/>
  <c r="D12" i="4"/>
  <c r="E12" i="4"/>
  <c r="F12" i="4"/>
  <c r="G12" i="4"/>
  <c r="H12" i="4"/>
  <c r="J13" i="4"/>
  <c r="K13" i="4"/>
  <c r="D14" i="4"/>
  <c r="E14" i="4"/>
  <c r="F14" i="4"/>
  <c r="G14" i="4"/>
  <c r="H14" i="4"/>
  <c r="D15" i="4"/>
  <c r="E15" i="4"/>
  <c r="F15" i="4"/>
  <c r="G15" i="4"/>
  <c r="H15" i="4"/>
  <c r="D17" i="4"/>
  <c r="E17" i="4"/>
  <c r="F17" i="4"/>
  <c r="G17" i="4"/>
  <c r="H17" i="4"/>
  <c r="D18" i="4"/>
  <c r="E18" i="4"/>
  <c r="F18" i="4"/>
  <c r="G18" i="4"/>
  <c r="H18" i="4"/>
  <c r="C19" i="4"/>
  <c r="D19" i="4"/>
  <c r="E19" i="4"/>
  <c r="F19" i="4"/>
  <c r="G19" i="4"/>
  <c r="H19" i="4"/>
  <c r="J19" i="4"/>
  <c r="K19" i="4"/>
  <c r="D21" i="4"/>
  <c r="E21" i="4"/>
  <c r="F21" i="4"/>
  <c r="G21" i="4"/>
  <c r="H21" i="4"/>
  <c r="D22" i="4"/>
  <c r="E22" i="4"/>
  <c r="F22" i="4"/>
  <c r="G22" i="4"/>
  <c r="H22" i="4"/>
  <c r="D23" i="4"/>
  <c r="E23" i="4"/>
  <c r="F23" i="4"/>
  <c r="G23" i="4"/>
  <c r="H23" i="4"/>
  <c r="C25" i="4"/>
  <c r="D25" i="4"/>
  <c r="E25" i="4"/>
  <c r="F25" i="4"/>
  <c r="G25" i="4"/>
  <c r="H25" i="4"/>
  <c r="J25" i="4"/>
  <c r="K25" i="4"/>
  <c r="C26" i="4"/>
  <c r="D26" i="4"/>
  <c r="E26" i="4"/>
  <c r="F26" i="4"/>
  <c r="G26" i="4"/>
  <c r="H26" i="4"/>
  <c r="J26" i="4"/>
  <c r="K26" i="4"/>
  <c r="C27" i="4"/>
  <c r="D27" i="4"/>
  <c r="E27" i="4"/>
  <c r="F27" i="4"/>
  <c r="G27" i="4"/>
  <c r="H27" i="4"/>
  <c r="C28" i="4"/>
  <c r="D28" i="4"/>
  <c r="E28" i="4"/>
  <c r="F28" i="4"/>
  <c r="G28" i="4"/>
  <c r="H28" i="4"/>
  <c r="J28" i="4"/>
  <c r="K28" i="4"/>
  <c r="C29" i="4"/>
  <c r="J29" i="4" s="1"/>
  <c r="D29" i="4"/>
  <c r="E29" i="4"/>
  <c r="F29" i="4"/>
  <c r="G29" i="4"/>
  <c r="H29" i="4"/>
  <c r="K29" i="4"/>
  <c r="C31" i="4"/>
  <c r="D31" i="4"/>
  <c r="E31" i="4"/>
  <c r="F31" i="4"/>
  <c r="G31" i="4"/>
  <c r="H31" i="4"/>
  <c r="C32" i="4"/>
  <c r="D32" i="4"/>
  <c r="E32" i="4"/>
  <c r="F32" i="4"/>
  <c r="G32" i="4"/>
  <c r="J32" i="4" s="1"/>
  <c r="H32" i="4"/>
  <c r="K32" i="4"/>
  <c r="C33" i="4"/>
  <c r="D33" i="4"/>
  <c r="E33" i="4"/>
  <c r="F33" i="4"/>
  <c r="G33" i="4"/>
  <c r="H33" i="4"/>
  <c r="J33" i="4"/>
  <c r="K33" i="4"/>
  <c r="C34" i="4"/>
  <c r="K34" i="4" s="1"/>
  <c r="D34" i="4"/>
  <c r="E34" i="4"/>
  <c r="F34" i="4"/>
  <c r="G34" i="4"/>
  <c r="H34" i="4"/>
  <c r="J34" i="4" s="1"/>
  <c r="C36" i="4"/>
  <c r="D36" i="4"/>
  <c r="E36" i="4"/>
  <c r="F36" i="4"/>
  <c r="G36" i="4"/>
  <c r="H36" i="4"/>
  <c r="J36" i="4"/>
  <c r="K36" i="4"/>
  <c r="C37" i="4"/>
  <c r="D37" i="4"/>
  <c r="E37" i="4"/>
  <c r="F37" i="4"/>
  <c r="G37" i="4"/>
  <c r="H37" i="4"/>
  <c r="J37" i="4"/>
  <c r="K37" i="4"/>
  <c r="C38" i="4"/>
  <c r="D38" i="4"/>
  <c r="E38" i="4"/>
  <c r="F38" i="4"/>
  <c r="G38" i="4"/>
  <c r="H38" i="4"/>
  <c r="J38" i="4"/>
  <c r="K38" i="4"/>
  <c r="C5" i="3"/>
  <c r="D5" i="3"/>
  <c r="E5" i="3"/>
  <c r="F5" i="3"/>
  <c r="G5" i="3"/>
  <c r="H5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  <c r="B12" i="3"/>
  <c r="C12" i="3"/>
  <c r="D12" i="3"/>
  <c r="E12" i="3"/>
  <c r="F12" i="3"/>
  <c r="G12" i="3"/>
  <c r="H12" i="3"/>
  <c r="B13" i="3"/>
  <c r="C13" i="3"/>
  <c r="D13" i="3"/>
  <c r="E13" i="3"/>
  <c r="F13" i="3"/>
  <c r="G13" i="3"/>
  <c r="H13" i="3"/>
  <c r="B14" i="3"/>
  <c r="C14" i="3"/>
  <c r="D14" i="3"/>
  <c r="E14" i="3"/>
  <c r="F14" i="3"/>
  <c r="G14" i="3"/>
  <c r="H14" i="3"/>
  <c r="B15" i="3"/>
  <c r="C15" i="3"/>
  <c r="D15" i="3"/>
  <c r="E15" i="3"/>
  <c r="F15" i="3"/>
  <c r="G15" i="3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B19" i="3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H22" i="3"/>
  <c r="B26" i="3"/>
  <c r="C26" i="3"/>
  <c r="D26" i="3"/>
  <c r="E26" i="3"/>
  <c r="F26" i="3"/>
  <c r="G26" i="3"/>
  <c r="H26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H30" i="3"/>
  <c r="B31" i="3"/>
  <c r="C31" i="3"/>
  <c r="D31" i="3"/>
  <c r="E31" i="3"/>
  <c r="F31" i="3"/>
  <c r="G31" i="3"/>
  <c r="H31" i="3"/>
  <c r="B32" i="3"/>
  <c r="C32" i="3"/>
  <c r="D32" i="3"/>
  <c r="E32" i="3"/>
  <c r="F32" i="3"/>
  <c r="G32" i="3"/>
  <c r="H32" i="3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D10" i="2"/>
  <c r="E10" i="2"/>
  <c r="F10" i="2"/>
  <c r="G10" i="2"/>
  <c r="H10" i="2"/>
  <c r="D11" i="2"/>
  <c r="D5" i="4" s="1"/>
  <c r="E11" i="2"/>
  <c r="F11" i="2"/>
  <c r="G11" i="2"/>
  <c r="H11" i="2"/>
  <c r="C13" i="2"/>
  <c r="D13" i="2"/>
  <c r="E13" i="2"/>
  <c r="F13" i="2"/>
  <c r="G13" i="2"/>
  <c r="H13" i="2"/>
  <c r="C19" i="2"/>
  <c r="C20" i="2" s="1"/>
  <c r="C17" i="4" s="1"/>
  <c r="D19" i="2"/>
  <c r="D20" i="2" s="1"/>
  <c r="E19" i="2"/>
  <c r="F19" i="2"/>
  <c r="G19" i="2"/>
  <c r="H19" i="2"/>
  <c r="E20" i="2"/>
  <c r="F20" i="2"/>
  <c r="G20" i="2"/>
  <c r="H20" i="2"/>
  <c r="C25" i="2"/>
  <c r="D25" i="2"/>
  <c r="E25" i="2"/>
  <c r="F25" i="2"/>
  <c r="G25" i="2"/>
  <c r="H25" i="2"/>
  <c r="C26" i="2"/>
  <c r="D26" i="2"/>
  <c r="E26" i="2"/>
  <c r="F26" i="2"/>
  <c r="G26" i="2"/>
  <c r="H26" i="2"/>
  <c r="C28" i="2"/>
  <c r="D28" i="2"/>
  <c r="E28" i="2"/>
  <c r="F28" i="2"/>
  <c r="G28" i="2"/>
  <c r="H28" i="2"/>
  <c r="C29" i="2"/>
  <c r="C18" i="4" s="1"/>
  <c r="D29" i="2"/>
  <c r="E29" i="2"/>
  <c r="F29" i="2"/>
  <c r="G29" i="2"/>
  <c r="H29" i="2"/>
  <c r="C34" i="2"/>
  <c r="D34" i="2"/>
  <c r="E34" i="2"/>
  <c r="F34" i="2"/>
  <c r="G34" i="2"/>
  <c r="H34" i="2"/>
  <c r="C35" i="2"/>
  <c r="D35" i="2"/>
  <c r="E35" i="2"/>
  <c r="F35" i="2"/>
  <c r="G35" i="2"/>
  <c r="H35" i="2"/>
  <c r="C37" i="2"/>
  <c r="D37" i="2"/>
  <c r="E37" i="2"/>
  <c r="F37" i="2"/>
  <c r="G37" i="2"/>
  <c r="H37" i="2"/>
  <c r="C43" i="2"/>
  <c r="D43" i="2"/>
  <c r="E43" i="2"/>
  <c r="F43" i="2"/>
  <c r="G43" i="2"/>
  <c r="H43" i="2"/>
  <c r="C48" i="2"/>
  <c r="D48" i="2"/>
  <c r="E48" i="2"/>
  <c r="F48" i="2"/>
  <c r="G48" i="2"/>
  <c r="H48" i="2"/>
  <c r="C53" i="2"/>
  <c r="D53" i="2"/>
  <c r="E53" i="2"/>
  <c r="F53" i="2"/>
  <c r="G53" i="2"/>
  <c r="H53" i="2"/>
  <c r="C54" i="2"/>
  <c r="D54" i="2"/>
  <c r="E54" i="2"/>
  <c r="F54" i="2"/>
  <c r="G54" i="2"/>
  <c r="H54" i="2"/>
  <c r="C55" i="2"/>
  <c r="D55" i="2"/>
  <c r="E55" i="2"/>
  <c r="F55" i="2"/>
  <c r="G55" i="2"/>
  <c r="H55" i="2"/>
  <c r="C56" i="2"/>
  <c r="D56" i="2"/>
  <c r="E56" i="2"/>
  <c r="F56" i="2"/>
  <c r="G56" i="2"/>
  <c r="H56" i="2"/>
  <c r="C57" i="2"/>
  <c r="C72" i="2" s="1"/>
  <c r="D57" i="2"/>
  <c r="E57" i="2"/>
  <c r="F57" i="2"/>
  <c r="G57" i="2"/>
  <c r="H57" i="2"/>
  <c r="C59" i="2"/>
  <c r="D59" i="2"/>
  <c r="E59" i="2"/>
  <c r="F59" i="2"/>
  <c r="G59" i="2"/>
  <c r="H59" i="2"/>
  <c r="C60" i="2"/>
  <c r="D60" i="2"/>
  <c r="E60" i="2"/>
  <c r="F60" i="2"/>
  <c r="G60" i="2"/>
  <c r="H60" i="2"/>
  <c r="C61" i="2"/>
  <c r="D61" i="2"/>
  <c r="E61" i="2"/>
  <c r="F61" i="2"/>
  <c r="G61" i="2"/>
  <c r="H61" i="2"/>
  <c r="C62" i="2"/>
  <c r="D62" i="2"/>
  <c r="E62" i="2"/>
  <c r="F62" i="2"/>
  <c r="G62" i="2"/>
  <c r="H62" i="2"/>
  <c r="C63" i="2"/>
  <c r="D63" i="2"/>
  <c r="E63" i="2"/>
  <c r="F63" i="2"/>
  <c r="G63" i="2"/>
  <c r="H63" i="2"/>
  <c r="C65" i="2"/>
  <c r="D65" i="2"/>
  <c r="E65" i="2"/>
  <c r="F65" i="2"/>
  <c r="G65" i="2"/>
  <c r="H65" i="2"/>
  <c r="C66" i="2"/>
  <c r="D66" i="2"/>
  <c r="E66" i="2"/>
  <c r="F66" i="2"/>
  <c r="G66" i="2"/>
  <c r="H66" i="2"/>
  <c r="C67" i="2"/>
  <c r="D67" i="2"/>
  <c r="E67" i="2"/>
  <c r="F67" i="2"/>
  <c r="G67" i="2"/>
  <c r="H67" i="2"/>
  <c r="C68" i="2"/>
  <c r="D68" i="2"/>
  <c r="E68" i="2"/>
  <c r="F68" i="2"/>
  <c r="G68" i="2"/>
  <c r="H68" i="2"/>
  <c r="C70" i="2"/>
  <c r="D70" i="2"/>
  <c r="E70" i="2"/>
  <c r="F70" i="2"/>
  <c r="G70" i="2"/>
  <c r="H70" i="2"/>
  <c r="D72" i="2"/>
  <c r="E72" i="2"/>
  <c r="F72" i="2"/>
  <c r="G72" i="2"/>
  <c r="H72" i="2"/>
  <c r="C76" i="2"/>
  <c r="C84" i="2" s="1"/>
  <c r="C111" i="2" s="1"/>
  <c r="D76" i="2"/>
  <c r="D84" i="2" s="1"/>
  <c r="D111" i="2" s="1"/>
  <c r="E76" i="2"/>
  <c r="E84" i="2" s="1"/>
  <c r="E111" i="2" s="1"/>
  <c r="F76" i="2"/>
  <c r="F84" i="2" s="1"/>
  <c r="F111" i="2" s="1"/>
  <c r="G76" i="2"/>
  <c r="H76" i="2"/>
  <c r="C77" i="2"/>
  <c r="D77" i="2"/>
  <c r="E77" i="2"/>
  <c r="F77" i="2"/>
  <c r="G77" i="2"/>
  <c r="H77" i="2"/>
  <c r="C78" i="2"/>
  <c r="D78" i="2"/>
  <c r="E78" i="2"/>
  <c r="F78" i="2"/>
  <c r="G78" i="2"/>
  <c r="H78" i="2"/>
  <c r="C79" i="2"/>
  <c r="D79" i="2"/>
  <c r="E79" i="2"/>
  <c r="F79" i="2"/>
  <c r="G79" i="2"/>
  <c r="H79" i="2"/>
  <c r="C80" i="2"/>
  <c r="D80" i="2"/>
  <c r="E80" i="2"/>
  <c r="F80" i="2"/>
  <c r="G80" i="2"/>
  <c r="H80" i="2"/>
  <c r="C81" i="2"/>
  <c r="D81" i="2"/>
  <c r="E81" i="2"/>
  <c r="F81" i="2"/>
  <c r="G81" i="2"/>
  <c r="H81" i="2"/>
  <c r="C82" i="2"/>
  <c r="D82" i="2"/>
  <c r="E82" i="2"/>
  <c r="F82" i="2"/>
  <c r="G82" i="2"/>
  <c r="H82" i="2"/>
  <c r="C83" i="2"/>
  <c r="D83" i="2"/>
  <c r="E83" i="2"/>
  <c r="F83" i="2"/>
  <c r="G83" i="2"/>
  <c r="H83" i="2"/>
  <c r="G84" i="2"/>
  <c r="H84" i="2"/>
  <c r="C87" i="2"/>
  <c r="D87" i="2"/>
  <c r="E87" i="2"/>
  <c r="F87" i="2"/>
  <c r="G87" i="2"/>
  <c r="H87" i="2"/>
  <c r="C88" i="2"/>
  <c r="D88" i="2"/>
  <c r="E88" i="2"/>
  <c r="F88" i="2"/>
  <c r="G88" i="2"/>
  <c r="H88" i="2"/>
  <c r="C89" i="2"/>
  <c r="D89" i="2"/>
  <c r="E89" i="2"/>
  <c r="F89" i="2"/>
  <c r="G89" i="2"/>
  <c r="H89" i="2"/>
  <c r="C90" i="2"/>
  <c r="D90" i="2"/>
  <c r="E90" i="2"/>
  <c r="F90" i="2"/>
  <c r="G90" i="2"/>
  <c r="H90" i="2"/>
  <c r="C91" i="2"/>
  <c r="D91" i="2"/>
  <c r="E91" i="2"/>
  <c r="F91" i="2"/>
  <c r="G91" i="2"/>
  <c r="H91" i="2"/>
  <c r="C92" i="2"/>
  <c r="D92" i="2"/>
  <c r="E92" i="2"/>
  <c r="F92" i="2"/>
  <c r="G92" i="2"/>
  <c r="H92" i="2"/>
  <c r="C93" i="2"/>
  <c r="D93" i="2"/>
  <c r="E93" i="2"/>
  <c r="F93" i="2"/>
  <c r="G93" i="2"/>
  <c r="H93" i="2"/>
  <c r="C94" i="2"/>
  <c r="D94" i="2"/>
  <c r="E94" i="2"/>
  <c r="F94" i="2"/>
  <c r="G94" i="2"/>
  <c r="H94" i="2"/>
  <c r="C95" i="2"/>
  <c r="D95" i="2"/>
  <c r="E95" i="2"/>
  <c r="F95" i="2"/>
  <c r="G95" i="2"/>
  <c r="H95" i="2"/>
  <c r="C96" i="2"/>
  <c r="D96" i="2"/>
  <c r="E96" i="2"/>
  <c r="F96" i="2"/>
  <c r="G96" i="2"/>
  <c r="H96" i="2"/>
  <c r="C97" i="2"/>
  <c r="D97" i="2"/>
  <c r="E97" i="2"/>
  <c r="F97" i="2"/>
  <c r="G97" i="2"/>
  <c r="H97" i="2"/>
  <c r="C98" i="2"/>
  <c r="D98" i="2"/>
  <c r="E98" i="2"/>
  <c r="F98" i="2"/>
  <c r="G98" i="2"/>
  <c r="H98" i="2"/>
  <c r="C99" i="2"/>
  <c r="D99" i="2"/>
  <c r="E99" i="2"/>
  <c r="F99" i="2"/>
  <c r="G99" i="2"/>
  <c r="H99" i="2"/>
  <c r="C102" i="2"/>
  <c r="D102" i="2"/>
  <c r="E102" i="2"/>
  <c r="F102" i="2"/>
  <c r="G102" i="2"/>
  <c r="H102" i="2"/>
  <c r="C103" i="2"/>
  <c r="D103" i="2"/>
  <c r="E103" i="2"/>
  <c r="F103" i="2"/>
  <c r="G103" i="2"/>
  <c r="H103" i="2"/>
  <c r="C104" i="2"/>
  <c r="D104" i="2"/>
  <c r="E104" i="2"/>
  <c r="F104" i="2"/>
  <c r="G104" i="2"/>
  <c r="H104" i="2"/>
  <c r="C105" i="2"/>
  <c r="D105" i="2"/>
  <c r="E105" i="2"/>
  <c r="F105" i="2"/>
  <c r="G105" i="2"/>
  <c r="H105" i="2"/>
  <c r="C106" i="2"/>
  <c r="D106" i="2"/>
  <c r="E106" i="2"/>
  <c r="F106" i="2"/>
  <c r="G106" i="2"/>
  <c r="H106" i="2"/>
  <c r="C107" i="2"/>
  <c r="D107" i="2"/>
  <c r="E107" i="2"/>
  <c r="F107" i="2"/>
  <c r="G107" i="2"/>
  <c r="H107" i="2"/>
  <c r="C108" i="2"/>
  <c r="D108" i="2"/>
  <c r="E108" i="2"/>
  <c r="F108" i="2"/>
  <c r="G108" i="2"/>
  <c r="H108" i="2"/>
  <c r="C109" i="2"/>
  <c r="D109" i="2"/>
  <c r="E109" i="2"/>
  <c r="F109" i="2"/>
  <c r="G109" i="2"/>
  <c r="H109" i="2"/>
  <c r="G111" i="2"/>
  <c r="H111" i="2"/>
  <c r="K5" i="4" l="1"/>
  <c r="J5" i="4"/>
  <c r="K17" i="4"/>
  <c r="J17" i="4"/>
  <c r="K18" i="4"/>
  <c r="J18" i="4"/>
  <c r="J44" i="5"/>
  <c r="J27" i="4"/>
  <c r="K27" i="4"/>
  <c r="K31" i="4"/>
  <c r="J31" i="4"/>
  <c r="C16" i="2"/>
  <c r="C14" i="2"/>
  <c r="D16" i="2"/>
  <c r="D14" i="2"/>
  <c r="E16" i="2"/>
  <c r="E14" i="2"/>
  <c r="F16" i="2"/>
  <c r="F14" i="2"/>
  <c r="G16" i="2"/>
  <c r="G14" i="2"/>
  <c r="H16" i="2"/>
  <c r="H14" i="2"/>
  <c r="C22" i="2" l="1"/>
  <c r="C17" i="2"/>
  <c r="C11" i="4" s="1"/>
  <c r="D22" i="2"/>
  <c r="D17" i="2"/>
  <c r="E22" i="2"/>
  <c r="E17" i="2"/>
  <c r="F22" i="2"/>
  <c r="F17" i="2"/>
  <c r="G22" i="2"/>
  <c r="G17" i="2"/>
  <c r="H22" i="2"/>
  <c r="H17" i="2"/>
  <c r="D6" i="4" l="1"/>
  <c r="C21" i="4"/>
  <c r="C23" i="4"/>
  <c r="K11" i="4"/>
  <c r="J11" i="4"/>
  <c r="C31" i="2"/>
  <c r="D7" i="4" s="1"/>
  <c r="C23" i="2"/>
  <c r="C12" i="4" s="1"/>
  <c r="D31" i="2"/>
  <c r="D23" i="2"/>
  <c r="E23" i="2"/>
  <c r="E31" i="2"/>
  <c r="F31" i="2"/>
  <c r="F23" i="2"/>
  <c r="G31" i="2"/>
  <c r="G23" i="2"/>
  <c r="H23" i="2"/>
  <c r="H31" i="2"/>
  <c r="K6" i="4" l="1"/>
  <c r="J6" i="4"/>
  <c r="K21" i="4"/>
  <c r="J21" i="4"/>
  <c r="K23" i="4"/>
  <c r="J23" i="4"/>
  <c r="K7" i="4"/>
  <c r="J7" i="4"/>
  <c r="K12" i="4"/>
  <c r="J12" i="4"/>
  <c r="C32" i="2"/>
  <c r="C14" i="4" s="1"/>
  <c r="C40" i="2"/>
  <c r="C38" i="2"/>
  <c r="D38" i="2"/>
  <c r="D32" i="2"/>
  <c r="D40" i="2"/>
  <c r="E40" i="2"/>
  <c r="E38" i="2"/>
  <c r="E32" i="2"/>
  <c r="F40" i="2"/>
  <c r="F38" i="2"/>
  <c r="F32" i="2"/>
  <c r="G38" i="2"/>
  <c r="G40" i="2"/>
  <c r="G32" i="2"/>
  <c r="H40" i="2"/>
  <c r="H38" i="2"/>
  <c r="H32" i="2"/>
  <c r="K14" i="4" l="1"/>
  <c r="J14" i="4"/>
  <c r="D8" i="4"/>
  <c r="C22" i="4"/>
  <c r="C45" i="2"/>
  <c r="C49" i="2" s="1"/>
  <c r="C41" i="2"/>
  <c r="C15" i="4" s="1"/>
  <c r="D41" i="2"/>
  <c r="D45" i="2"/>
  <c r="E45" i="2"/>
  <c r="E41" i="2"/>
  <c r="F45" i="2"/>
  <c r="F41" i="2"/>
  <c r="G45" i="2"/>
  <c r="G41" i="2"/>
  <c r="H45" i="2"/>
  <c r="H41" i="2"/>
  <c r="K8" i="4" l="1"/>
  <c r="J8" i="4"/>
  <c r="K22" i="4"/>
  <c r="J22" i="4"/>
  <c r="K15" i="4"/>
  <c r="J15" i="4"/>
  <c r="D49" i="2"/>
  <c r="D46" i="2"/>
  <c r="E49" i="2"/>
  <c r="E46" i="2"/>
  <c r="F49" i="2"/>
  <c r="F46" i="2"/>
  <c r="G49" i="2"/>
  <c r="G46" i="2"/>
  <c r="H49" i="2"/>
  <c r="H46" i="2"/>
</calcChain>
</file>

<file path=xl/sharedStrings.xml><?xml version="1.0" encoding="utf-8"?>
<sst xmlns="http://schemas.openxmlformats.org/spreadsheetml/2006/main" count="304" uniqueCount="284">
  <si>
    <t>Net Cash Flow</t>
  </si>
  <si>
    <t>Cash from Financing Activities</t>
  </si>
  <si>
    <t>Other financing items</t>
  </si>
  <si>
    <t>Financial liabilities</t>
  </si>
  <si>
    <t>Dividends paid</t>
  </si>
  <si>
    <t>Interest paid fin</t>
  </si>
  <si>
    <t>Repayment of borrowings</t>
  </si>
  <si>
    <t>Proceeds from borrowings</t>
  </si>
  <si>
    <t>Proceeds from shares</t>
  </si>
  <si>
    <t>Financing Activities</t>
  </si>
  <si>
    <t>Cash from Investing Activities</t>
  </si>
  <si>
    <t>Other investing items</t>
  </si>
  <si>
    <t>Inter corporate deposits</t>
  </si>
  <si>
    <t>Acquisition of companies</t>
  </si>
  <si>
    <t>Redemp n Canc of Shares</t>
  </si>
  <si>
    <t>Issue of shares on acq</t>
  </si>
  <si>
    <t>Investment in group cos</t>
  </si>
  <si>
    <t>Dividends received</t>
  </si>
  <si>
    <t>Interest received</t>
  </si>
  <si>
    <t>Investments sold</t>
  </si>
  <si>
    <t>Investments purchased</t>
  </si>
  <si>
    <t>Fixed assets sold</t>
  </si>
  <si>
    <t>Fixed assets purchased</t>
  </si>
  <si>
    <t>Investing Activities</t>
  </si>
  <si>
    <t>Cash from operating Activities</t>
  </si>
  <si>
    <t>Direct taxes</t>
  </si>
  <si>
    <t>Working capital changes</t>
  </si>
  <si>
    <t>Other WC items</t>
  </si>
  <si>
    <t>Loans Advances</t>
  </si>
  <si>
    <t>Payables</t>
  </si>
  <si>
    <t>Inventory</t>
  </si>
  <si>
    <t>Receivables</t>
  </si>
  <si>
    <t>Profit from operations</t>
  </si>
  <si>
    <t xml:space="preserve"> Operating activities</t>
  </si>
  <si>
    <t xml:space="preserve">Cashflow Statement </t>
  </si>
  <si>
    <t>#</t>
  </si>
  <si>
    <t>check</t>
  </si>
  <si>
    <t>Total Assets</t>
  </si>
  <si>
    <t xml:space="preserve">Total Current Assets </t>
  </si>
  <si>
    <t>Cash &amp; Bank</t>
  </si>
  <si>
    <t xml:space="preserve">Total Non CurrentAssets </t>
  </si>
  <si>
    <t>Other Assets</t>
  </si>
  <si>
    <t>Investments</t>
  </si>
  <si>
    <t>Capital Work in Progress</t>
  </si>
  <si>
    <t>Fixed Assets Net Block</t>
  </si>
  <si>
    <t>Total Liabilities</t>
  </si>
  <si>
    <t>Other Liabilities</t>
  </si>
  <si>
    <t>Borrowings</t>
  </si>
  <si>
    <t>Reserves</t>
  </si>
  <si>
    <t>Equity Share Capital</t>
  </si>
  <si>
    <t>Balance Sheet</t>
  </si>
  <si>
    <t>Dividend payout ratio</t>
  </si>
  <si>
    <t>Dividend per Share</t>
  </si>
  <si>
    <t>EPS Growth %</t>
  </si>
  <si>
    <t>Earnings per Share</t>
  </si>
  <si>
    <t>No of Equity Shares</t>
  </si>
  <si>
    <t>Net Margins %</t>
  </si>
  <si>
    <t>Net Profit</t>
  </si>
  <si>
    <t>Effective Tax Rate</t>
  </si>
  <si>
    <t>Tax</t>
  </si>
  <si>
    <t>other income % Sales</t>
  </si>
  <si>
    <t>Other Income</t>
  </si>
  <si>
    <t>EBT % Sales</t>
  </si>
  <si>
    <t>Earnings Before Tax</t>
  </si>
  <si>
    <t>Depreciation%Sales</t>
  </si>
  <si>
    <t>Depreciation</t>
  </si>
  <si>
    <t>Interest % Sales</t>
  </si>
  <si>
    <t>Interest</t>
  </si>
  <si>
    <t>EBITDA Margins</t>
  </si>
  <si>
    <t>EBITDA</t>
  </si>
  <si>
    <t>S&amp;G Exp % Sales</t>
  </si>
  <si>
    <t>Selling &amp; General Expenses</t>
  </si>
  <si>
    <t>Gross Margins</t>
  </si>
  <si>
    <t>Gross Profit</t>
  </si>
  <si>
    <t>COGS % Sales</t>
  </si>
  <si>
    <t>COGS</t>
  </si>
  <si>
    <t>sales growth %</t>
  </si>
  <si>
    <t xml:space="preserve">Sales </t>
  </si>
  <si>
    <t>Income statement</t>
  </si>
  <si>
    <t>Years</t>
  </si>
  <si>
    <t>Historical Financial Statement - Mahindra and Mahindra Ltd</t>
  </si>
  <si>
    <t>MAHINDRA AND MAHINDRA LTD PROJECT</t>
  </si>
  <si>
    <t>Total liabilities</t>
  </si>
  <si>
    <t>Common Size Balance Sheet - Mahindra and Mahindra Ltd</t>
  </si>
  <si>
    <t>Particulars</t>
  </si>
  <si>
    <t>Common Size Income Statement - Mahindra and Mahindra Ltd</t>
  </si>
  <si>
    <t>CFO/Total Debt</t>
  </si>
  <si>
    <t>CFO/Total Assets</t>
  </si>
  <si>
    <t>CFO/Sales</t>
  </si>
  <si>
    <t>Cash Conversion Cycle (in days)</t>
  </si>
  <si>
    <t>Inventory Days</t>
  </si>
  <si>
    <t>Payable Days</t>
  </si>
  <si>
    <t>Debtor Days</t>
  </si>
  <si>
    <t>Capital Turnover Ratio</t>
  </si>
  <si>
    <t>Fixed Asset Turnover</t>
  </si>
  <si>
    <t>Inventory Turnover</t>
  </si>
  <si>
    <t>Creditor Turnover Ratio</t>
  </si>
  <si>
    <t>Debtor Turnover Ratio</t>
  </si>
  <si>
    <t>Interest Coverage Ratio</t>
  </si>
  <si>
    <t>Return on Equity%</t>
  </si>
  <si>
    <t>Return on Capital Employed</t>
  </si>
  <si>
    <t>OperatingIncome%Sales</t>
  </si>
  <si>
    <t>SalesExpenses%Sales</t>
  </si>
  <si>
    <t>Net Profit Margin</t>
  </si>
  <si>
    <t>EBT Margin</t>
  </si>
  <si>
    <t>EBIT Margin</t>
  </si>
  <si>
    <t>EBITDA Margin</t>
  </si>
  <si>
    <t>Gross Margin</t>
  </si>
  <si>
    <t>Dividend Growth</t>
  </si>
  <si>
    <t>Net Profit Growth</t>
  </si>
  <si>
    <t>EBIT Growth</t>
  </si>
  <si>
    <t>EBITDA Growth</t>
  </si>
  <si>
    <t>SalesGrowth</t>
  </si>
  <si>
    <t>Median</t>
  </si>
  <si>
    <t>Mean</t>
  </si>
  <si>
    <t>Trend</t>
  </si>
  <si>
    <t xml:space="preserve"> Ratio Analysis - Mahindra and Mahindra Ltd</t>
  </si>
  <si>
    <t>Weighted Average Cost of Capital</t>
  </si>
  <si>
    <t>4. Levered Beta = Unlevered Beta*(1+(1-Tax Rate) x Debt/Equity)</t>
  </si>
  <si>
    <t>Equity Capital</t>
  </si>
  <si>
    <t>3. Unlevered Beta = Levered Beta/(1+(1-Tax Rate) x Debt/Equity)</t>
  </si>
  <si>
    <t>Debt Capital</t>
  </si>
  <si>
    <t>2. Levered Beta is based on 5 year monthly data</t>
  </si>
  <si>
    <t>Total Weight</t>
  </si>
  <si>
    <t>Total Cost</t>
  </si>
  <si>
    <t>1. Tax Rate considered as Marginal Tax Rate for the country</t>
  </si>
  <si>
    <t>Debt / Equity</t>
  </si>
  <si>
    <t>Levered Beta</t>
  </si>
  <si>
    <t>Total Capitalization</t>
  </si>
  <si>
    <t>Tax Rate</t>
  </si>
  <si>
    <t>Market Capitalization</t>
  </si>
  <si>
    <t xml:space="preserve">Target Debt/ Equity  </t>
  </si>
  <si>
    <t>Total Debt</t>
  </si>
  <si>
    <t>Comps Median Unlevered Beta</t>
  </si>
  <si>
    <t>Target</t>
  </si>
  <si>
    <t>Current</t>
  </si>
  <si>
    <t xml:space="preserve">Levered Beta </t>
  </si>
  <si>
    <t>Capital Structure</t>
  </si>
  <si>
    <t>Cost of Equity</t>
  </si>
  <si>
    <t>Levered Beta 4</t>
  </si>
  <si>
    <t>After Tax Cost of Debt</t>
  </si>
  <si>
    <t>Equity Risk Premium</t>
  </si>
  <si>
    <t>Risk Free Rate</t>
  </si>
  <si>
    <t>Pre-tax Cost of Debt</t>
  </si>
  <si>
    <t>Cost of Debt</t>
  </si>
  <si>
    <t>Average</t>
  </si>
  <si>
    <t>India</t>
  </si>
  <si>
    <t>Eicher Motors Ltd.</t>
  </si>
  <si>
    <t>Hero MotoCorp Ltd.</t>
  </si>
  <si>
    <t>Bajaj Auto Ltd.</t>
  </si>
  <si>
    <t>Maruti Suzuki India</t>
  </si>
  <si>
    <t>Tata Motors Ltd.</t>
  </si>
  <si>
    <t>Beta 3</t>
  </si>
  <si>
    <t>Beta 2</t>
  </si>
  <si>
    <t>Capital</t>
  </si>
  <si>
    <t>Equity</t>
  </si>
  <si>
    <t>Tax Rate 1</t>
  </si>
  <si>
    <t>Total Equity</t>
  </si>
  <si>
    <t>Country</t>
  </si>
  <si>
    <t>Name of the comps</t>
  </si>
  <si>
    <t>Unlevered</t>
  </si>
  <si>
    <t>Levered</t>
  </si>
  <si>
    <t xml:space="preserve">Debt / </t>
  </si>
  <si>
    <t>Debt /</t>
  </si>
  <si>
    <t>Peer comps</t>
  </si>
  <si>
    <t>All figures are in INR unless stated otherwise.</t>
  </si>
  <si>
    <t>Feb 24, 2025</t>
  </si>
  <si>
    <t>Feb 17, 2025</t>
  </si>
  <si>
    <t>Feb 10, 2025</t>
  </si>
  <si>
    <t>Feb 3, 2025</t>
  </si>
  <si>
    <t>Jan 27, 2025</t>
  </si>
  <si>
    <t>Jan 20, 2025</t>
  </si>
  <si>
    <t>Jan 13, 2025</t>
  </si>
  <si>
    <t>Jan 6, 2025</t>
  </si>
  <si>
    <t>Dec 30, 2024</t>
  </si>
  <si>
    <t>Dec 23, 2024</t>
  </si>
  <si>
    <t>Dec 16, 2024</t>
  </si>
  <si>
    <t>Dec 9, 2024</t>
  </si>
  <si>
    <t>Dec 2, 2024</t>
  </si>
  <si>
    <t>Nov 25, 2024</t>
  </si>
  <si>
    <t>Nov 18, 2024</t>
  </si>
  <si>
    <t>Nov 11, 2024</t>
  </si>
  <si>
    <t>Nov 4, 2024</t>
  </si>
  <si>
    <t>Oct 28, 2024</t>
  </si>
  <si>
    <t>Oct 21, 2024</t>
  </si>
  <si>
    <t>Oct 14, 2024</t>
  </si>
  <si>
    <t>Oct 7, 2024</t>
  </si>
  <si>
    <t>Sep 30, 2024</t>
  </si>
  <si>
    <t>Sep 23, 2024</t>
  </si>
  <si>
    <t>Sep 16, 2024</t>
  </si>
  <si>
    <t>Sep 9, 2024</t>
  </si>
  <si>
    <t>Sep 2, 2024</t>
  </si>
  <si>
    <t>Aug 26, 2024</t>
  </si>
  <si>
    <t>Aug 19, 2024</t>
  </si>
  <si>
    <t>Aug 12, 2024</t>
  </si>
  <si>
    <t>Aug 5, 2024</t>
  </si>
  <si>
    <t>Jul 29, 2024</t>
  </si>
  <si>
    <t>Jul 22, 2024</t>
  </si>
  <si>
    <t>Jul 15, 2024</t>
  </si>
  <si>
    <t>Jul 8, 2024</t>
  </si>
  <si>
    <t>Jul 1, 2024</t>
  </si>
  <si>
    <t>Jun 24, 2024</t>
  </si>
  <si>
    <t>Jun 17, 2024</t>
  </si>
  <si>
    <t>Jun 10, 2024</t>
  </si>
  <si>
    <t>Jun 3, 2024</t>
  </si>
  <si>
    <t>May 27, 2024</t>
  </si>
  <si>
    <t>May 20, 2024</t>
  </si>
  <si>
    <t>May 13, 2024</t>
  </si>
  <si>
    <t>May 6, 2024</t>
  </si>
  <si>
    <t>Apr 29, 2024</t>
  </si>
  <si>
    <t>Apr 22, 2024</t>
  </si>
  <si>
    <t>Apr 15, 2024</t>
  </si>
  <si>
    <t>Apr 8, 2024</t>
  </si>
  <si>
    <t>Apr 1, 2024</t>
  </si>
  <si>
    <t>Mar 25, 2024</t>
  </si>
  <si>
    <t>Mar 18, 2024</t>
  </si>
  <si>
    <t>Mar 11, 2024</t>
  </si>
  <si>
    <t>Mar 4, 2024</t>
  </si>
  <si>
    <t>Feb 26, 2024</t>
  </si>
  <si>
    <t>Feb 19, 2024</t>
  </si>
  <si>
    <t>Feb 12, 2024</t>
  </si>
  <si>
    <t>Feb 5, 2024</t>
  </si>
  <si>
    <t>Jan 29, 2024</t>
  </si>
  <si>
    <t>Jan 22, 2024</t>
  </si>
  <si>
    <t>Jan 15, 2024</t>
  </si>
  <si>
    <t>Jan 8, 2024</t>
  </si>
  <si>
    <t>Jan 1, 2024</t>
  </si>
  <si>
    <t>Dec 25, 2023</t>
  </si>
  <si>
    <t>Dec 18, 2023</t>
  </si>
  <si>
    <t>Dec 11, 2023</t>
  </si>
  <si>
    <t>Dec 4, 2023</t>
  </si>
  <si>
    <t>Nov 27, 2023</t>
  </si>
  <si>
    <t>Nov 20, 2023</t>
  </si>
  <si>
    <t>Nov 13, 2023</t>
  </si>
  <si>
    <t>Nov 6, 2023</t>
  </si>
  <si>
    <t>Oct 30, 2023</t>
  </si>
  <si>
    <t>Oct 23, 2023</t>
  </si>
  <si>
    <t>Oct 16, 2023</t>
  </si>
  <si>
    <t>Oct 9, 2023</t>
  </si>
  <si>
    <t>Oct 2, 2023</t>
  </si>
  <si>
    <t>Sep 25, 2023</t>
  </si>
  <si>
    <t>Sep 18, 2023</t>
  </si>
  <si>
    <t>Sep 11, 2023</t>
  </si>
  <si>
    <t>Sep 4, 2023</t>
  </si>
  <si>
    <t>Aug 28, 2023</t>
  </si>
  <si>
    <t>Aug 21, 2023</t>
  </si>
  <si>
    <t>Aug 14, 2023</t>
  </si>
  <si>
    <t>Aug 7, 2023</t>
  </si>
  <si>
    <t>Jul 31, 2023</t>
  </si>
  <si>
    <t>Jul 24, 2023</t>
  </si>
  <si>
    <t>Jul 17, 2023</t>
  </si>
  <si>
    <t>Jul 10, 2023</t>
  </si>
  <si>
    <t>Jul 3, 2023</t>
  </si>
  <si>
    <t>Jun 26, 2023</t>
  </si>
  <si>
    <t>Jun 19, 2023</t>
  </si>
  <si>
    <t>Jun 12, 2023</t>
  </si>
  <si>
    <t>Jun 5, 2023</t>
  </si>
  <si>
    <t>May 29, 2023</t>
  </si>
  <si>
    <t>May 22, 2023</t>
  </si>
  <si>
    <t>May 15, 2023</t>
  </si>
  <si>
    <t>May 8, 2023</t>
  </si>
  <si>
    <t>May 1, 2023</t>
  </si>
  <si>
    <t>Apr 24, 2023</t>
  </si>
  <si>
    <t>Apr 17, 2023</t>
  </si>
  <si>
    <t>Apr 10, 2023</t>
  </si>
  <si>
    <t>Adjusted beta</t>
  </si>
  <si>
    <t>Apr 3, 2023</t>
  </si>
  <si>
    <t>Mar 27, 2023</t>
  </si>
  <si>
    <t>market beta weight</t>
  </si>
  <si>
    <t>Mar 20, 2023</t>
  </si>
  <si>
    <t xml:space="preserve">market beta </t>
  </si>
  <si>
    <t>Mar 13, 2023</t>
  </si>
  <si>
    <t>Mar 6, 2023</t>
  </si>
  <si>
    <t>Raw beta weight</t>
  </si>
  <si>
    <t>Feb 27, 2023</t>
  </si>
  <si>
    <t>Beta 1</t>
  </si>
  <si>
    <t>Levered raw beta</t>
  </si>
  <si>
    <t xml:space="preserve">     Return</t>
  </si>
  <si>
    <t xml:space="preserve"> Closing price</t>
  </si>
  <si>
    <t xml:space="preserve">               Return</t>
  </si>
  <si>
    <t>Date</t>
  </si>
  <si>
    <t xml:space="preserve">              Beta Drifting</t>
  </si>
  <si>
    <t xml:space="preserve"> Nifty Weekly Returns</t>
  </si>
  <si>
    <t xml:space="preserve">     Mahindra and Mahindra Weekly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</si>
</sst>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₹ &quot;#,##0.0;&quot;(₹ &quot;#,##0.0\);\-"/>
    <numFmt numFmtId="165" formatCode="&quot;₹ &quot;#,##0.00"/>
    <numFmt numFmtId="166" formatCode="_ * #,##0.00_ ;_ * \-#,##0.00_ ;_ * \-??_ ;_ @_ "/>
    <numFmt numFmtId="167" formatCode="_(* #,##0.00_);_(* \(#,##0.00\);_(* \-??_);_(@_)"/>
    <numFmt numFmtId="168" formatCode="mmm\-yy"/>
    <numFmt numFmtId="169" formatCode="0&quot;days&quot;"/>
    <numFmt numFmtId="170" formatCode="0.00\x"/>
    <numFmt numFmtId="171" formatCode="0.0000"/>
    <numFmt numFmtId="172" formatCode="#,##0.0"/>
    <numFmt numFmtId="173" formatCode="0.0000\x"/>
    <numFmt numFmtId="174" formatCode="0.0%"/>
  </numFmts>
  <fonts count="21" x14ac:knownFonts="1"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i/>
      <sz val="11"/>
      <color theme="0" tint="-0.499984740745262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0" tint="-0.499984740745262"/>
      <name val="Calibri"/>
      <family val="2"/>
      <charset val="1"/>
    </font>
    <font>
      <i/>
      <sz val="8"/>
      <color rgb="FFFF0000"/>
      <name val="Arial"/>
      <charset val="1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9"/>
      <color rgb="FF444444"/>
      <name val="Arial"/>
      <charset val="1"/>
    </font>
    <font>
      <b/>
      <sz val="16"/>
      <color theme="0"/>
      <name val="Calibri"/>
      <family val="2"/>
      <charset val="1"/>
    </font>
    <font>
      <u/>
      <sz val="11"/>
      <color theme="1"/>
      <name val="Calibri"/>
      <family val="2"/>
      <charset val="1"/>
    </font>
    <font>
      <i/>
      <u/>
      <sz val="9"/>
      <color theme="1"/>
      <name val="Calibri"/>
      <family val="2"/>
      <charset val="1"/>
    </font>
    <font>
      <sz val="10"/>
      <color rgb="FF0000FF"/>
      <name val="Arial"/>
      <charset val="1"/>
    </font>
    <font>
      <sz val="11"/>
      <color rgb="FF3333FF"/>
      <name val="Calibri"/>
      <family val="2"/>
      <charset val="1"/>
    </font>
    <font>
      <sz val="10"/>
      <color rgb="FF0000FF"/>
      <name val="Arial"/>
      <family val="2"/>
      <charset val="1"/>
    </font>
    <font>
      <i/>
      <sz val="9"/>
      <color rgb="FF404040"/>
      <name val="Arial"/>
      <charset val="1"/>
    </font>
    <font>
      <i/>
      <sz val="10"/>
      <color theme="1"/>
      <name val="Calibri"/>
      <family val="2"/>
      <charset val="1"/>
    </font>
    <font>
      <b/>
      <sz val="12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BE4F0"/>
      </patternFill>
    </fill>
    <fill>
      <patternFill patternType="solid">
        <fgColor rgb="FF1F4E78"/>
        <bgColor rgb="FF444444"/>
      </patternFill>
    </fill>
    <fill>
      <patternFill patternType="solid">
        <fgColor theme="0" tint="-4.9989318521683403E-2"/>
        <bgColor rgb="FFF8F8FC"/>
      </patternFill>
    </fill>
    <fill>
      <patternFill patternType="solid">
        <fgColor theme="0" tint="-0.14999847407452621"/>
        <bgColor rgb="FFDBE4F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1" fillId="0" borderId="0" xfId="1"/>
    <xf numFmtId="164" fontId="2" fillId="0" borderId="1" xfId="1" applyNumberFormat="1" applyFont="1" applyBorder="1"/>
    <xf numFmtId="0" fontId="2" fillId="0" borderId="1" xfId="1" applyFont="1" applyBorder="1"/>
    <xf numFmtId="164" fontId="1" fillId="0" borderId="0" xfId="1" applyNumberFormat="1"/>
    <xf numFmtId="164" fontId="2" fillId="0" borderId="2" xfId="1" applyNumberFormat="1" applyFont="1" applyBorder="1"/>
    <xf numFmtId="0" fontId="2" fillId="0" borderId="2" xfId="1" applyFont="1" applyBorder="1"/>
    <xf numFmtId="0" fontId="2" fillId="0" borderId="0" xfId="1" applyFont="1"/>
    <xf numFmtId="3" fontId="1" fillId="0" borderId="0" xfId="1" applyNumberFormat="1"/>
    <xf numFmtId="0" fontId="3" fillId="2" borderId="0" xfId="1" applyFont="1" applyFill="1"/>
    <xf numFmtId="0" fontId="2" fillId="2" borderId="0" xfId="1" applyFont="1" applyFill="1"/>
    <xf numFmtId="0" fontId="4" fillId="0" borderId="0" xfId="1" applyFont="1"/>
    <xf numFmtId="165" fontId="2" fillId="0" borderId="1" xfId="1" applyNumberFormat="1" applyFont="1" applyBorder="1"/>
    <xf numFmtId="166" fontId="5" fillId="0" borderId="1" xfId="1" applyNumberFormat="1" applyFont="1" applyBorder="1"/>
    <xf numFmtId="165" fontId="1" fillId="0" borderId="0" xfId="1" applyNumberFormat="1"/>
    <xf numFmtId="166" fontId="6" fillId="0" borderId="0" xfId="1" applyNumberFormat="1" applyFont="1"/>
    <xf numFmtId="165" fontId="2" fillId="0" borderId="0" xfId="1" applyNumberFormat="1" applyFont="1"/>
    <xf numFmtId="166" fontId="5" fillId="0" borderId="0" xfId="1" applyNumberFormat="1" applyFont="1"/>
    <xf numFmtId="10" fontId="7" fillId="0" borderId="0" xfId="1" applyNumberFormat="1" applyFont="1"/>
    <xf numFmtId="0" fontId="7" fillId="0" borderId="0" xfId="1" applyFont="1"/>
    <xf numFmtId="167" fontId="1" fillId="0" borderId="0" xfId="1" applyNumberFormat="1"/>
    <xf numFmtId="0" fontId="8" fillId="0" borderId="0" xfId="1" applyFont="1"/>
    <xf numFmtId="10" fontId="1" fillId="0" borderId="0" xfId="1" applyNumberFormat="1"/>
    <xf numFmtId="0" fontId="9" fillId="0" borderId="0" xfId="1" applyFont="1"/>
    <xf numFmtId="10" fontId="4" fillId="0" borderId="0" xfId="1" applyNumberFormat="1" applyFont="1"/>
    <xf numFmtId="168" fontId="3" fillId="3" borderId="0" xfId="1" applyNumberFormat="1" applyFont="1" applyFill="1"/>
    <xf numFmtId="0" fontId="3" fillId="3" borderId="0" xfId="1" applyFont="1" applyFill="1"/>
    <xf numFmtId="0" fontId="10" fillId="3" borderId="0" xfId="1" applyFont="1" applyFill="1" applyAlignment="1">
      <alignment horizontal="center"/>
    </xf>
    <xf numFmtId="0" fontId="11" fillId="0" borderId="0" xfId="1" applyFont="1"/>
    <xf numFmtId="0" fontId="12" fillId="3" borderId="0" xfId="1" applyFont="1" applyFill="1" applyAlignment="1">
      <alignment horizontal="center" vertical="center"/>
    </xf>
    <xf numFmtId="166" fontId="1" fillId="0" borderId="0" xfId="1" applyNumberFormat="1"/>
    <xf numFmtId="10" fontId="2" fillId="0" borderId="0" xfId="1" applyNumberFormat="1" applyFont="1"/>
    <xf numFmtId="166" fontId="2" fillId="0" borderId="0" xfId="1" applyNumberFormat="1" applyFont="1"/>
    <xf numFmtId="168" fontId="2" fillId="0" borderId="0" xfId="1" applyNumberFormat="1" applyFont="1"/>
    <xf numFmtId="168" fontId="2" fillId="0" borderId="3" xfId="1" applyNumberFormat="1" applyFont="1" applyBorder="1"/>
    <xf numFmtId="168" fontId="1" fillId="0" borderId="0" xfId="1" applyNumberFormat="1"/>
    <xf numFmtId="0" fontId="2" fillId="0" borderId="3" xfId="1" applyFont="1" applyBorder="1"/>
    <xf numFmtId="10" fontId="1" fillId="0" borderId="4" xfId="1" applyNumberFormat="1" applyBorder="1"/>
    <xf numFmtId="0" fontId="1" fillId="0" borderId="5" xfId="1" applyBorder="1" applyAlignment="1">
      <alignment horizontal="center"/>
    </xf>
    <xf numFmtId="0" fontId="1" fillId="0" borderId="4" xfId="1" applyBorder="1"/>
    <xf numFmtId="10" fontId="1" fillId="0" borderId="5" xfId="1" applyNumberFormat="1" applyBorder="1"/>
    <xf numFmtId="0" fontId="1" fillId="0" borderId="5" xfId="1" applyBorder="1"/>
    <xf numFmtId="169" fontId="1" fillId="0" borderId="4" xfId="1" applyNumberFormat="1" applyBorder="1"/>
    <xf numFmtId="169" fontId="1" fillId="0" borderId="0" xfId="1" applyNumberFormat="1"/>
    <xf numFmtId="169" fontId="1" fillId="0" borderId="5" xfId="1" applyNumberFormat="1" applyBorder="1"/>
    <xf numFmtId="170" fontId="1" fillId="0" borderId="4" xfId="1" applyNumberFormat="1" applyBorder="1"/>
    <xf numFmtId="170" fontId="1" fillId="0" borderId="0" xfId="1" applyNumberFormat="1"/>
    <xf numFmtId="170" fontId="1" fillId="0" borderId="5" xfId="1" applyNumberFormat="1" applyBorder="1"/>
    <xf numFmtId="168" fontId="3" fillId="3" borderId="0" xfId="1" applyNumberFormat="1" applyFont="1" applyFill="1" applyAlignment="1">
      <alignment horizontal="right" vertical="center"/>
    </xf>
    <xf numFmtId="168" fontId="3" fillId="3" borderId="0" xfId="1" applyNumberFormat="1" applyFont="1" applyFill="1" applyAlignment="1">
      <alignment horizontal="center" vertical="center"/>
    </xf>
    <xf numFmtId="10" fontId="2" fillId="4" borderId="5" xfId="1" applyNumberFormat="1" applyFont="1" applyFill="1" applyBorder="1"/>
    <xf numFmtId="0" fontId="13" fillId="0" borderId="0" xfId="1" applyFont="1" applyAlignment="1">
      <alignment vertical="top"/>
    </xf>
    <xf numFmtId="0" fontId="14" fillId="0" borderId="0" xfId="1" applyFont="1" applyAlignment="1">
      <alignment vertical="top"/>
    </xf>
    <xf numFmtId="0" fontId="13" fillId="0" borderId="0" xfId="1" applyFont="1"/>
    <xf numFmtId="0" fontId="14" fillId="0" borderId="0" xfId="1" applyFont="1"/>
    <xf numFmtId="2" fontId="1" fillId="0" borderId="0" xfId="1" applyNumberFormat="1"/>
    <xf numFmtId="0" fontId="1" fillId="0" borderId="3" xfId="1" applyBorder="1"/>
    <xf numFmtId="171" fontId="1" fillId="4" borderId="0" xfId="1" applyNumberFormat="1" applyFill="1"/>
    <xf numFmtId="2" fontId="1" fillId="0" borderId="5" xfId="1" applyNumberFormat="1" applyBorder="1"/>
    <xf numFmtId="3" fontId="1" fillId="0" borderId="5" xfId="1" applyNumberFormat="1" applyBorder="1"/>
    <xf numFmtId="172" fontId="1" fillId="0" borderId="5" xfId="1" applyNumberFormat="1" applyBorder="1"/>
    <xf numFmtId="10" fontId="15" fillId="0" borderId="0" xfId="1" applyNumberFormat="1" applyFont="1"/>
    <xf numFmtId="3" fontId="15" fillId="0" borderId="0" xfId="1" applyNumberFormat="1" applyFont="1"/>
    <xf numFmtId="172" fontId="16" fillId="0" borderId="0" xfId="1" applyNumberFormat="1" applyFont="1"/>
    <xf numFmtId="173" fontId="1" fillId="4" borderId="0" xfId="1" applyNumberFormat="1" applyFill="1"/>
    <xf numFmtId="4" fontId="15" fillId="0" borderId="0" xfId="1" applyNumberFormat="1" applyFont="1"/>
    <xf numFmtId="0" fontId="2" fillId="0" borderId="3" xfId="1" applyFont="1" applyBorder="1" applyAlignment="1">
      <alignment horizontal="right"/>
    </xf>
    <xf numFmtId="10" fontId="1" fillId="4" borderId="5" xfId="1" applyNumberFormat="1" applyFill="1" applyBorder="1"/>
    <xf numFmtId="2" fontId="1" fillId="4" borderId="0" xfId="1" applyNumberFormat="1" applyFill="1"/>
    <xf numFmtId="2" fontId="1" fillId="0" borderId="3" xfId="1" applyNumberFormat="1" applyBorder="1"/>
    <xf numFmtId="10" fontId="1" fillId="0" borderId="3" xfId="1" applyNumberFormat="1" applyBorder="1"/>
    <xf numFmtId="174" fontId="1" fillId="0" borderId="3" xfId="1" applyNumberFormat="1" applyBorder="1"/>
    <xf numFmtId="2" fontId="1" fillId="0" borderId="2" xfId="1" applyNumberFormat="1" applyBorder="1"/>
    <xf numFmtId="10" fontId="1" fillId="0" borderId="2" xfId="1" applyNumberFormat="1" applyBorder="1"/>
    <xf numFmtId="174" fontId="1" fillId="0" borderId="2" xfId="1" applyNumberFormat="1" applyBorder="1"/>
    <xf numFmtId="2" fontId="15" fillId="0" borderId="0" xfId="1" applyNumberFormat="1" applyFont="1"/>
    <xf numFmtId="10" fontId="1" fillId="4" borderId="0" xfId="1" applyNumberFormat="1" applyFill="1"/>
    <xf numFmtId="174" fontId="17" fillId="0" borderId="0" xfId="1" applyNumberFormat="1" applyFont="1" applyAlignment="1">
      <alignment vertical="top"/>
    </xf>
    <xf numFmtId="172" fontId="15" fillId="0" borderId="0" xfId="1" applyNumberFormat="1" applyFont="1"/>
    <xf numFmtId="0" fontId="17" fillId="0" borderId="0" xfId="1" applyFont="1" applyAlignment="1">
      <alignment horizontal="right"/>
    </xf>
    <xf numFmtId="0" fontId="17" fillId="0" borderId="0" xfId="1" applyFont="1"/>
    <xf numFmtId="2" fontId="15" fillId="0" borderId="0" xfId="1" applyNumberFormat="1" applyFont="1" applyAlignment="1">
      <alignment vertical="top"/>
    </xf>
    <xf numFmtId="172" fontId="15" fillId="0" borderId="0" xfId="1" applyNumberFormat="1" applyFont="1" applyAlignment="1">
      <alignment vertical="top"/>
    </xf>
    <xf numFmtId="0" fontId="17" fillId="0" borderId="0" xfId="1" applyFont="1" applyAlignment="1">
      <alignment vertical="top"/>
    </xf>
    <xf numFmtId="0" fontId="1" fillId="0" borderId="2" xfId="1" applyBorder="1"/>
    <xf numFmtId="0" fontId="18" fillId="0" borderId="0" xfId="1" applyFont="1"/>
    <xf numFmtId="0" fontId="19" fillId="0" borderId="0" xfId="1" applyFont="1"/>
    <xf numFmtId="0" fontId="20" fillId="3" borderId="0" xfId="1" applyFont="1" applyFill="1" applyAlignment="1">
      <alignment vertical="center"/>
    </xf>
    <xf numFmtId="0" fontId="12" fillId="3" borderId="0" xfId="1" applyFont="1" applyFill="1" applyAlignment="1">
      <alignment vertical="center"/>
    </xf>
    <xf numFmtId="0" fontId="8" fillId="3" borderId="0" xfId="1" applyFont="1" applyFill="1" applyAlignment="1">
      <alignment vertical="center"/>
    </xf>
    <xf numFmtId="4" fontId="1" fillId="0" borderId="0" xfId="1" applyNumberFormat="1" applyAlignment="1">
      <alignment horizontal="right"/>
    </xf>
    <xf numFmtId="4" fontId="1" fillId="0" borderId="0" xfId="1" applyNumberFormat="1"/>
    <xf numFmtId="2" fontId="1" fillId="5" borderId="0" xfId="1" applyNumberFormat="1" applyFill="1"/>
    <xf numFmtId="0" fontId="1" fillId="5" borderId="0" xfId="1" applyFill="1"/>
    <xf numFmtId="2" fontId="2" fillId="0" borderId="0" xfId="1" applyNumberFormat="1" applyFont="1"/>
  </cellXfs>
  <cellStyles count="2">
    <cellStyle name="Normal" xfId="0" builtinId="0"/>
    <cellStyle name="Normal 2" xfId="1" xr:uid="{3C77273B-4C47-450E-9FC9-604E68AE0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Mahindra%20and%20Mahindra%20project%20Model.xlsx" TargetMode="External"/><Relationship Id="rId2" Type="http://schemas.openxmlformats.org/officeDocument/2006/relationships/externalLinkPath" Target="https://d.docs.live.net/6f9b90f4dd225b2b/Desktop/Mahindra%20and%20Mahindra%20project%20Model.xlsx" TargetMode="External"/><Relationship Id="rId1" Type="http://schemas.openxmlformats.org/officeDocument/2006/relationships/externalLinkPath" Target="/6f9b90f4dd225b2b/Desktop/Mahindra%20and%20Mahindra%20projec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rinsic growth"/>
      <sheetName val="PV OF FCF"/>
      <sheetName val="Raw Data (Source)"/>
      <sheetName val="Data Sheet"/>
    </sheetNames>
    <sheetDataSet>
      <sheetData sheetId="0"/>
      <sheetData sheetId="1"/>
      <sheetData sheetId="2">
        <row r="55">
          <cell r="K55">
            <v>7774</v>
          </cell>
          <cell r="L55">
            <v>7588</v>
          </cell>
          <cell r="M55">
            <v>10515</v>
          </cell>
          <cell r="N55">
            <v>15642</v>
          </cell>
          <cell r="O55">
            <v>17541</v>
          </cell>
          <cell r="P55">
            <v>22050</v>
          </cell>
        </row>
        <row r="56">
          <cell r="K56">
            <v>-1516</v>
          </cell>
          <cell r="L56">
            <v>4896</v>
          </cell>
          <cell r="M56">
            <v>-2506</v>
          </cell>
          <cell r="N56">
            <v>-21702</v>
          </cell>
          <cell r="O56">
            <v>-21777</v>
          </cell>
          <cell r="P56">
            <v>-20952</v>
          </cell>
        </row>
        <row r="57">
          <cell r="K57">
            <v>1316</v>
          </cell>
          <cell r="L57">
            <v>226</v>
          </cell>
          <cell r="M57">
            <v>-2173</v>
          </cell>
          <cell r="N57">
            <v>-5252</v>
          </cell>
          <cell r="O57">
            <v>-1753</v>
          </cell>
          <cell r="P57">
            <v>-1646</v>
          </cell>
        </row>
        <row r="58">
          <cell r="K58">
            <v>-6775</v>
          </cell>
          <cell r="L58">
            <v>7049</v>
          </cell>
          <cell r="M58">
            <v>4972</v>
          </cell>
          <cell r="N58">
            <v>7013</v>
          </cell>
          <cell r="O58">
            <v>4354</v>
          </cell>
          <cell r="P58">
            <v>8485</v>
          </cell>
        </row>
        <row r="59"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K61">
            <v>-6974</v>
          </cell>
          <cell r="L61">
            <v>12171</v>
          </cell>
          <cell r="M61">
            <v>293</v>
          </cell>
          <cell r="N61">
            <v>-19941</v>
          </cell>
          <cell r="O61">
            <v>-19175</v>
          </cell>
          <cell r="P61">
            <v>-14113</v>
          </cell>
        </row>
        <row r="62">
          <cell r="K62">
            <v>-2257</v>
          </cell>
          <cell r="L62">
            <v>-1850</v>
          </cell>
          <cell r="M62">
            <v>-1560</v>
          </cell>
          <cell r="N62">
            <v>-2775</v>
          </cell>
          <cell r="O62">
            <v>-3996</v>
          </cell>
          <cell r="P62">
            <v>-4761</v>
          </cell>
        </row>
        <row r="64">
          <cell r="K64">
            <v>-6896</v>
          </cell>
          <cell r="L64">
            <v>-5989</v>
          </cell>
          <cell r="M64">
            <v>-6040</v>
          </cell>
          <cell r="N64">
            <v>-6305</v>
          </cell>
          <cell r="O64">
            <v>-9946</v>
          </cell>
          <cell r="P64">
            <v>-10392</v>
          </cell>
        </row>
        <row r="65">
          <cell r="K65">
            <v>102</v>
          </cell>
          <cell r="L65">
            <v>1364</v>
          </cell>
          <cell r="M65">
            <v>120</v>
          </cell>
          <cell r="N65">
            <v>138</v>
          </cell>
          <cell r="O65">
            <v>273</v>
          </cell>
          <cell r="P65">
            <v>583</v>
          </cell>
        </row>
        <row r="66">
          <cell r="K66">
            <v>-198568</v>
          </cell>
          <cell r="L66">
            <v>-120055</v>
          </cell>
          <cell r="M66">
            <v>-65421</v>
          </cell>
          <cell r="N66">
            <v>-50165</v>
          </cell>
          <cell r="O66">
            <v>-49927</v>
          </cell>
          <cell r="P66">
            <v>-90595</v>
          </cell>
        </row>
        <row r="67">
          <cell r="K67">
            <v>198132</v>
          </cell>
          <cell r="L67">
            <v>111749</v>
          </cell>
          <cell r="M67">
            <v>65127</v>
          </cell>
          <cell r="N67">
            <v>46269</v>
          </cell>
          <cell r="O67">
            <v>50919</v>
          </cell>
          <cell r="P67">
            <v>85257</v>
          </cell>
        </row>
        <row r="68">
          <cell r="K68">
            <v>372</v>
          </cell>
          <cell r="L68">
            <v>431</v>
          </cell>
          <cell r="M68">
            <v>420</v>
          </cell>
          <cell r="N68">
            <v>464</v>
          </cell>
          <cell r="O68">
            <v>703</v>
          </cell>
          <cell r="P68">
            <v>884</v>
          </cell>
        </row>
        <row r="69">
          <cell r="K69">
            <v>722</v>
          </cell>
          <cell r="L69">
            <v>577</v>
          </cell>
          <cell r="M69">
            <v>1247</v>
          </cell>
          <cell r="N69">
            <v>1397</v>
          </cell>
          <cell r="O69">
            <v>1213</v>
          </cell>
          <cell r="P69">
            <v>1374</v>
          </cell>
        </row>
        <row r="70">
          <cell r="K70">
            <v>-418</v>
          </cell>
          <cell r="L70">
            <v>-359</v>
          </cell>
          <cell r="M70">
            <v>-222</v>
          </cell>
          <cell r="N70">
            <v>-62</v>
          </cell>
          <cell r="O70">
            <v>-249</v>
          </cell>
          <cell r="P70">
            <v>-29</v>
          </cell>
        </row>
        <row r="71"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K72">
            <v>175</v>
          </cell>
          <cell r="L72">
            <v>316</v>
          </cell>
          <cell r="M72">
            <v>617</v>
          </cell>
          <cell r="N72">
            <v>1863</v>
          </cell>
          <cell r="O72">
            <v>1043</v>
          </cell>
          <cell r="P72">
            <v>620</v>
          </cell>
        </row>
        <row r="73">
          <cell r="K73">
            <v>-59</v>
          </cell>
          <cell r="L73">
            <v>0</v>
          </cell>
          <cell r="M73">
            <v>-42</v>
          </cell>
          <cell r="N73">
            <v>-587</v>
          </cell>
          <cell r="O73">
            <v>-53</v>
          </cell>
          <cell r="P73">
            <v>0</v>
          </cell>
        </row>
        <row r="74">
          <cell r="K74">
            <v>6</v>
          </cell>
          <cell r="L74">
            <v>-262</v>
          </cell>
          <cell r="M74">
            <v>-552</v>
          </cell>
          <cell r="N74">
            <v>-93</v>
          </cell>
          <cell r="O74">
            <v>485</v>
          </cell>
          <cell r="P74">
            <v>-244</v>
          </cell>
        </row>
        <row r="75">
          <cell r="K75">
            <v>-437</v>
          </cell>
          <cell r="L75">
            <v>-7457</v>
          </cell>
          <cell r="M75">
            <v>1494</v>
          </cell>
          <cell r="N75">
            <v>-1786</v>
          </cell>
          <cell r="O75">
            <v>-78</v>
          </cell>
          <cell r="P75">
            <v>-6075</v>
          </cell>
        </row>
        <row r="77">
          <cell r="K77">
            <v>1243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</row>
        <row r="78">
          <cell r="K78">
            <v>52618</v>
          </cell>
          <cell r="L78">
            <v>38100</v>
          </cell>
          <cell r="M78">
            <v>53880</v>
          </cell>
          <cell r="N78">
            <v>55622</v>
          </cell>
          <cell r="O78">
            <v>61308</v>
          </cell>
          <cell r="P78">
            <v>82590</v>
          </cell>
        </row>
        <row r="79">
          <cell r="K79">
            <v>-44044</v>
          </cell>
          <cell r="L79">
            <v>-37505</v>
          </cell>
          <cell r="M79">
            <v>-57223</v>
          </cell>
          <cell r="N79">
            <v>-37056</v>
          </cell>
          <cell r="O79">
            <v>-46805</v>
          </cell>
          <cell r="P79">
            <v>-64689</v>
          </cell>
        </row>
        <row r="80">
          <cell r="K80">
            <v>-624</v>
          </cell>
          <cell r="L80">
            <v>-809</v>
          </cell>
          <cell r="M80">
            <v>-680</v>
          </cell>
          <cell r="N80">
            <v>-734</v>
          </cell>
          <cell r="O80">
            <v>-597</v>
          </cell>
          <cell r="P80">
            <v>-436</v>
          </cell>
        </row>
        <row r="81">
          <cell r="K81">
            <v>-1398</v>
          </cell>
          <cell r="L81">
            <v>-271</v>
          </cell>
          <cell r="M81">
            <v>-1037</v>
          </cell>
          <cell r="N81">
            <v>-1522</v>
          </cell>
          <cell r="O81">
            <v>-2247</v>
          </cell>
          <cell r="P81">
            <v>-2806</v>
          </cell>
        </row>
        <row r="82">
          <cell r="K82">
            <v>-558</v>
          </cell>
          <cell r="L82">
            <v>-553</v>
          </cell>
          <cell r="M82">
            <v>-583</v>
          </cell>
          <cell r="N82">
            <v>-751</v>
          </cell>
          <cell r="O82">
            <v>-786</v>
          </cell>
          <cell r="P82">
            <v>-887</v>
          </cell>
        </row>
        <row r="83">
          <cell r="K83">
            <v>-304</v>
          </cell>
          <cell r="L83">
            <v>1444</v>
          </cell>
          <cell r="M83">
            <v>-240</v>
          </cell>
          <cell r="N83">
            <v>386</v>
          </cell>
          <cell r="O83">
            <v>1408</v>
          </cell>
          <cell r="P83">
            <v>2062</v>
          </cell>
        </row>
      </sheetData>
      <sheetData sheetId="3">
        <row r="9">
          <cell r="B9">
            <v>369328.06</v>
          </cell>
        </row>
        <row r="16">
          <cell r="F16">
            <v>43921</v>
          </cell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A17" t="str">
            <v>Sales</v>
          </cell>
          <cell r="F17">
            <v>75381.929999999993</v>
          </cell>
          <cell r="G17">
            <v>74277.78</v>
          </cell>
          <cell r="H17">
            <v>90170.57</v>
          </cell>
          <cell r="I17">
            <v>121268.55</v>
          </cell>
          <cell r="J17">
            <v>139078.26999999999</v>
          </cell>
          <cell r="K17">
            <v>159210.82</v>
          </cell>
        </row>
        <row r="18">
          <cell r="A18" t="str">
            <v>Raw Material Cost</v>
          </cell>
          <cell r="F18">
            <v>37595.300000000003</v>
          </cell>
          <cell r="G18">
            <v>38271.199999999997</v>
          </cell>
          <cell r="H18">
            <v>52664.85</v>
          </cell>
          <cell r="I18">
            <v>76019.87</v>
          </cell>
          <cell r="J18">
            <v>85070.07</v>
          </cell>
          <cell r="K18">
            <v>95754.9</v>
          </cell>
        </row>
        <row r="19">
          <cell r="A19" t="str">
            <v>Change in Inventory</v>
          </cell>
          <cell r="F19">
            <v>-826.62</v>
          </cell>
          <cell r="G19">
            <v>-135.59</v>
          </cell>
          <cell r="H19">
            <v>861.66</v>
          </cell>
          <cell r="I19">
            <v>2032.31</v>
          </cell>
          <cell r="J19">
            <v>1455.32</v>
          </cell>
          <cell r="K19">
            <v>12.18</v>
          </cell>
        </row>
        <row r="20">
          <cell r="A20" t="str">
            <v>Power and Fuel</v>
          </cell>
          <cell r="F20">
            <v>530.91999999999996</v>
          </cell>
          <cell r="G20">
            <v>429.56</v>
          </cell>
          <cell r="H20">
            <v>541.27</v>
          </cell>
          <cell r="I20">
            <v>830.48</v>
          </cell>
          <cell r="J20">
            <v>752.73</v>
          </cell>
          <cell r="K20">
            <v>832.35</v>
          </cell>
        </row>
        <row r="21">
          <cell r="A21" t="str">
            <v>Other Mfr. Exp</v>
          </cell>
          <cell r="F21">
            <v>3277.79</v>
          </cell>
          <cell r="G21">
            <v>2523.4</v>
          </cell>
          <cell r="H21">
            <v>3124.27</v>
          </cell>
          <cell r="I21">
            <v>3838.42</v>
          </cell>
          <cell r="J21">
            <v>3791.75</v>
          </cell>
          <cell r="K21">
            <v>4162.28</v>
          </cell>
        </row>
        <row r="22">
          <cell r="A22" t="str">
            <v>Employee Cost</v>
          </cell>
          <cell r="F22">
            <v>8214.82</v>
          </cell>
          <cell r="G22">
            <v>7813.26</v>
          </cell>
          <cell r="H22">
            <v>8386.74</v>
          </cell>
          <cell r="I22">
            <v>9677.9500000000007</v>
          </cell>
          <cell r="J22">
            <v>10624.33</v>
          </cell>
          <cell r="K22">
            <v>11126.17</v>
          </cell>
        </row>
        <row r="23">
          <cell r="A23" t="str">
            <v>Selling and admin</v>
          </cell>
          <cell r="F23">
            <v>6316.52</v>
          </cell>
          <cell r="G23">
            <v>4628.75</v>
          </cell>
          <cell r="H23">
            <v>5977.67</v>
          </cell>
          <cell r="I23">
            <v>7681.87</v>
          </cell>
          <cell r="J23">
            <v>9832.2000000000007</v>
          </cell>
          <cell r="K23">
            <v>10811.4</v>
          </cell>
        </row>
        <row r="24">
          <cell r="A24" t="str">
            <v>Other Expenses</v>
          </cell>
          <cell r="F24">
            <v>8462.2099999999991</v>
          </cell>
          <cell r="G24">
            <v>8989</v>
          </cell>
          <cell r="H24">
            <v>5654.58</v>
          </cell>
          <cell r="I24">
            <v>4966.9799999999996</v>
          </cell>
          <cell r="J24">
            <v>5570.58</v>
          </cell>
          <cell r="K24">
            <v>6017.71</v>
          </cell>
        </row>
        <row r="25">
          <cell r="A25" t="str">
            <v>Other Income</v>
          </cell>
          <cell r="F25">
            <v>884.69</v>
          </cell>
          <cell r="G25">
            <v>1151.51</v>
          </cell>
          <cell r="H25">
            <v>3204.47</v>
          </cell>
          <cell r="I25">
            <v>3961.45</v>
          </cell>
          <cell r="J25">
            <v>3297.85</v>
          </cell>
          <cell r="K25">
            <v>3718.47</v>
          </cell>
        </row>
        <row r="26">
          <cell r="A26" t="str">
            <v>Depreciation</v>
          </cell>
          <cell r="F26">
            <v>3366.68</v>
          </cell>
          <cell r="G26">
            <v>3378.11</v>
          </cell>
          <cell r="H26">
            <v>3507.5</v>
          </cell>
          <cell r="I26">
            <v>4356.8100000000004</v>
          </cell>
          <cell r="J26">
            <v>4723.78</v>
          </cell>
          <cell r="K26">
            <v>6073.65</v>
          </cell>
        </row>
        <row r="27">
          <cell r="A27" t="str">
            <v>Interest</v>
          </cell>
          <cell r="F27">
            <v>6021.15</v>
          </cell>
          <cell r="G27">
            <v>6102.22</v>
          </cell>
          <cell r="H27">
            <v>5018.05</v>
          </cell>
          <cell r="I27">
            <v>5829.7</v>
          </cell>
          <cell r="J27">
            <v>7488.21</v>
          </cell>
          <cell r="K27">
            <v>9083.39</v>
          </cell>
        </row>
        <row r="28">
          <cell r="A28" t="str">
            <v>Profit before tax</v>
          </cell>
          <cell r="F28">
            <v>1654.61</v>
          </cell>
          <cell r="G28">
            <v>3158.2</v>
          </cell>
          <cell r="H28">
            <v>9361.77</v>
          </cell>
          <cell r="I28">
            <v>14060.23</v>
          </cell>
          <cell r="J28">
            <v>15977.79</v>
          </cell>
          <cell r="K28">
            <v>19079.62</v>
          </cell>
        </row>
        <row r="29">
          <cell r="A29" t="str">
            <v>Tax</v>
          </cell>
          <cell r="F29">
            <v>1975.61</v>
          </cell>
          <cell r="G29">
            <v>1645.81</v>
          </cell>
          <cell r="H29">
            <v>2108.7600000000002</v>
          </cell>
          <cell r="I29">
            <v>2685.75</v>
          </cell>
          <cell r="J29">
            <v>3707.97</v>
          </cell>
          <cell r="K29">
            <v>5006.45</v>
          </cell>
        </row>
        <row r="30">
          <cell r="A30" t="str">
            <v>Net profit</v>
          </cell>
          <cell r="F30">
            <v>127.04</v>
          </cell>
          <cell r="G30">
            <v>1812.49</v>
          </cell>
          <cell r="H30">
            <v>6577.32</v>
          </cell>
          <cell r="I30">
            <v>10281.5</v>
          </cell>
          <cell r="J30">
            <v>11268.64</v>
          </cell>
          <cell r="K30">
            <v>12929.1</v>
          </cell>
        </row>
        <row r="31">
          <cell r="A31" t="str">
            <v>Dividend Amount</v>
          </cell>
          <cell r="F31">
            <v>260.51</v>
          </cell>
          <cell r="G31">
            <v>971.51</v>
          </cell>
          <cell r="H31">
            <v>1284.5</v>
          </cell>
          <cell r="I31">
            <v>1809.66</v>
          </cell>
          <cell r="J31">
            <v>2352.14</v>
          </cell>
          <cell r="K31">
            <v>2824.24</v>
          </cell>
        </row>
        <row r="34">
          <cell r="A34" t="str">
            <v>EBITDA</v>
          </cell>
          <cell r="F34">
            <v>11490.48</v>
          </cell>
          <cell r="G34">
            <v>12938.630000000001</v>
          </cell>
          <cell r="H34">
            <v>17211.63</v>
          </cell>
          <cell r="I34">
            <v>23153.760000000002</v>
          </cell>
          <cell r="J34">
            <v>27188.6</v>
          </cell>
          <cell r="K34">
            <v>33092.589999999997</v>
          </cell>
        </row>
        <row r="57">
          <cell r="A57" t="str">
            <v>Equity Share Capital</v>
          </cell>
          <cell r="F57">
            <v>554.28</v>
          </cell>
          <cell r="G57">
            <v>555.15</v>
          </cell>
          <cell r="H57">
            <v>556.05999999999995</v>
          </cell>
          <cell r="I57">
            <v>556.82000000000005</v>
          </cell>
          <cell r="J57">
            <v>557.38</v>
          </cell>
          <cell r="K57">
            <v>558.15</v>
          </cell>
        </row>
        <row r="58">
          <cell r="A58" t="str">
            <v>Reserves</v>
          </cell>
          <cell r="F58">
            <v>39415.03</v>
          </cell>
          <cell r="G58">
            <v>41026.769999999997</v>
          </cell>
          <cell r="H58">
            <v>46566.58</v>
          </cell>
          <cell r="I58">
            <v>55808.97</v>
          </cell>
          <cell r="J58">
            <v>65633.17</v>
          </cell>
          <cell r="K58">
            <v>76480.710000000006</v>
          </cell>
        </row>
        <row r="59">
          <cell r="A59" t="str">
            <v>Borrowings</v>
          </cell>
          <cell r="F59">
            <v>82092.28</v>
          </cell>
          <cell r="G59">
            <v>80624.83</v>
          </cell>
          <cell r="H59">
            <v>77605.210000000006</v>
          </cell>
          <cell r="I59">
            <v>92246.85</v>
          </cell>
          <cell r="J59">
            <v>108647.25</v>
          </cell>
          <cell r="K59">
            <v>129024.58</v>
          </cell>
        </row>
        <row r="60">
          <cell r="A60" t="str">
            <v>Other Liabilities</v>
          </cell>
          <cell r="F60">
            <v>43654.54</v>
          </cell>
          <cell r="G60">
            <v>42761.58</v>
          </cell>
          <cell r="H60">
            <v>47660.639999999999</v>
          </cell>
          <cell r="I60">
            <v>55670.49</v>
          </cell>
          <cell r="J60">
            <v>59883.94</v>
          </cell>
          <cell r="K60">
            <v>69949.72</v>
          </cell>
        </row>
        <row r="61">
          <cell r="F61">
            <v>165716.13</v>
          </cell>
          <cell r="G61">
            <v>164968.32999999999</v>
          </cell>
          <cell r="H61">
            <v>172388.49</v>
          </cell>
          <cell r="I61">
            <v>204283.13</v>
          </cell>
          <cell r="J61">
            <v>234721.74</v>
          </cell>
          <cell r="K61">
            <v>276013.15999999997</v>
          </cell>
        </row>
        <row r="62">
          <cell r="A62" t="str">
            <v>Net Block</v>
          </cell>
          <cell r="F62">
            <v>29689.27</v>
          </cell>
          <cell r="G62">
            <v>21379.68</v>
          </cell>
          <cell r="H62">
            <v>26018.49</v>
          </cell>
          <cell r="I62">
            <v>27139.98</v>
          </cell>
          <cell r="J62">
            <v>28129.41</v>
          </cell>
          <cell r="K62">
            <v>34636.36</v>
          </cell>
        </row>
        <row r="63">
          <cell r="A63" t="str">
            <v>Capital Work in Progress</v>
          </cell>
          <cell r="F63">
            <v>6856.48</v>
          </cell>
          <cell r="G63">
            <v>7872.61</v>
          </cell>
          <cell r="H63">
            <v>6702.81</v>
          </cell>
          <cell r="I63">
            <v>3968.58</v>
          </cell>
          <cell r="J63">
            <v>8039.3</v>
          </cell>
          <cell r="K63">
            <v>8297.64</v>
          </cell>
        </row>
        <row r="64">
          <cell r="A64" t="str">
            <v>Investments</v>
          </cell>
          <cell r="F64">
            <v>19210.34</v>
          </cell>
          <cell r="G64">
            <v>28777.66</v>
          </cell>
          <cell r="H64">
            <v>30060.43</v>
          </cell>
          <cell r="I64">
            <v>35272.42</v>
          </cell>
          <cell r="J64">
            <v>35208.1</v>
          </cell>
          <cell r="K64">
            <v>41308.57</v>
          </cell>
        </row>
        <row r="65">
          <cell r="A65" t="str">
            <v>Other Assets</v>
          </cell>
          <cell r="F65">
            <v>109960.04</v>
          </cell>
          <cell r="G65">
            <v>106938.38</v>
          </cell>
          <cell r="H65">
            <v>109606.76</v>
          </cell>
          <cell r="I65">
            <v>137902.15</v>
          </cell>
          <cell r="J65">
            <v>163344.93</v>
          </cell>
          <cell r="K65">
            <v>191770.59</v>
          </cell>
        </row>
        <row r="67">
          <cell r="A67" t="str">
            <v>Receivables</v>
          </cell>
          <cell r="F67">
            <v>6928.28</v>
          </cell>
          <cell r="G67">
            <v>6007.76</v>
          </cell>
          <cell r="H67">
            <v>6373.95</v>
          </cell>
          <cell r="I67">
            <v>7028.02</v>
          </cell>
          <cell r="J67">
            <v>7459.4</v>
          </cell>
          <cell r="K67">
            <v>8279.7000000000007</v>
          </cell>
        </row>
        <row r="68">
          <cell r="A68" t="str">
            <v>Inventory</v>
          </cell>
          <cell r="F68">
            <v>11111.86</v>
          </cell>
          <cell r="G68">
            <v>9615.41</v>
          </cell>
          <cell r="H68">
            <v>11595.82</v>
          </cell>
          <cell r="I68">
            <v>16854.97</v>
          </cell>
          <cell r="J68">
            <v>18590.47</v>
          </cell>
          <cell r="K68">
            <v>20330.93</v>
          </cell>
        </row>
        <row r="69">
          <cell r="A69" t="str">
            <v>Cash &amp; Bank</v>
          </cell>
          <cell r="F69">
            <v>7910.9</v>
          </cell>
          <cell r="G69">
            <v>12851.99</v>
          </cell>
          <cell r="H69">
            <v>11117.61</v>
          </cell>
          <cell r="I69">
            <v>11273.43</v>
          </cell>
          <cell r="J69">
            <v>12012.75</v>
          </cell>
          <cell r="K69">
            <v>20614.84</v>
          </cell>
        </row>
        <row r="75">
          <cell r="F75">
            <v>84009</v>
          </cell>
          <cell r="G75">
            <v>78463.22</v>
          </cell>
          <cell r="H75">
            <v>80519.37999999999</v>
          </cell>
          <cell r="I75">
            <v>102745.73</v>
          </cell>
          <cell r="J75">
            <v>125282.31</v>
          </cell>
          <cell r="K75">
            <v>142545.12</v>
          </cell>
        </row>
        <row r="76">
          <cell r="F76">
            <v>165716.13</v>
          </cell>
          <cell r="G76">
            <v>164968.32999999999</v>
          </cell>
          <cell r="H76">
            <v>172388.49</v>
          </cell>
          <cell r="I76">
            <v>204283.13</v>
          </cell>
          <cell r="J76">
            <v>234721.74</v>
          </cell>
          <cell r="K76">
            <v>276013.15999999997</v>
          </cell>
        </row>
        <row r="94">
          <cell r="F94">
            <v>124.32</v>
          </cell>
          <cell r="G94">
            <v>124.32</v>
          </cell>
          <cell r="H94">
            <v>124.32</v>
          </cell>
          <cell r="I94">
            <v>124.35</v>
          </cell>
          <cell r="J94">
            <v>124.35</v>
          </cell>
          <cell r="K94">
            <v>124.35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CAA2-A386-4195-B1A3-0F59BD56C679}">
  <dimension ref="A1:O111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10" sqref="C10"/>
    </sheetView>
  </sheetViews>
  <sheetFormatPr defaultColWidth="8.6640625" defaultRowHeight="14.4" x14ac:dyDescent="0.3"/>
  <cols>
    <col min="1" max="1" width="2" style="1" customWidth="1"/>
    <col min="2" max="2" width="28.21875" style="1" customWidth="1"/>
    <col min="3" max="3" width="17.77734375" style="1" customWidth="1"/>
    <col min="4" max="4" width="13.44140625" style="1" customWidth="1"/>
    <col min="5" max="5" width="14" style="1" customWidth="1"/>
    <col min="6" max="6" width="14.21875" style="1" customWidth="1"/>
    <col min="7" max="7" width="13.21875" style="1" customWidth="1"/>
    <col min="8" max="8" width="13.5546875" style="1" customWidth="1"/>
    <col min="9" max="9" width="8.6640625" style="1"/>
    <col min="10" max="11" width="9.44140625" style="1" customWidth="1"/>
    <col min="12" max="12" width="11" style="1" customWidth="1"/>
    <col min="13" max="13" width="10.44140625" style="1" customWidth="1"/>
    <col min="14" max="14" width="11.109375" style="1" customWidth="1"/>
    <col min="15" max="15" width="11.44140625" style="1" customWidth="1"/>
    <col min="16" max="16384" width="8.6640625" style="1"/>
  </cols>
  <sheetData>
    <row r="1" spans="1:8" ht="14.25" customHeight="1" x14ac:dyDescent="0.3">
      <c r="A1" s="29" t="s">
        <v>81</v>
      </c>
      <c r="B1" s="29"/>
      <c r="C1" s="29"/>
      <c r="D1" s="29"/>
      <c r="E1" s="29"/>
      <c r="F1" s="29"/>
      <c r="G1" s="29"/>
      <c r="H1" s="29"/>
    </row>
    <row r="2" spans="1:8" ht="21" customHeight="1" x14ac:dyDescent="0.3">
      <c r="A2" s="29"/>
      <c r="B2" s="29"/>
      <c r="C2" s="29"/>
      <c r="D2" s="29"/>
      <c r="E2" s="29"/>
      <c r="F2" s="29"/>
      <c r="G2" s="29"/>
      <c r="H2" s="29"/>
    </row>
    <row r="3" spans="1:8" ht="14.25" customHeight="1" x14ac:dyDescent="0.3">
      <c r="A3" s="29"/>
      <c r="B3" s="29"/>
      <c r="C3" s="29"/>
      <c r="D3" s="29"/>
      <c r="E3" s="29"/>
      <c r="F3" s="29"/>
      <c r="G3" s="29"/>
      <c r="H3" s="29"/>
    </row>
    <row r="4" spans="1:8" ht="14.25" customHeight="1" x14ac:dyDescent="0.3">
      <c r="B4" s="28"/>
    </row>
    <row r="6" spans="1:8" ht="14.25" customHeight="1" x14ac:dyDescent="0.3">
      <c r="B6" s="27" t="s">
        <v>80</v>
      </c>
      <c r="C6" s="27"/>
      <c r="D6" s="27"/>
      <c r="E6" s="27"/>
      <c r="F6" s="27"/>
      <c r="G6" s="27"/>
      <c r="H6" s="27"/>
    </row>
    <row r="7" spans="1:8" ht="14.25" customHeight="1" x14ac:dyDescent="0.3">
      <c r="B7" s="26" t="s">
        <v>79</v>
      </c>
      <c r="C7" s="25">
        <v>43921</v>
      </c>
      <c r="D7" s="25">
        <v>44286</v>
      </c>
      <c r="E7" s="25">
        <v>44651</v>
      </c>
      <c r="F7" s="25">
        <v>45016</v>
      </c>
      <c r="G7" s="25">
        <v>45382</v>
      </c>
      <c r="H7" s="25">
        <v>45747</v>
      </c>
    </row>
    <row r="9" spans="1:8" ht="14.25" customHeight="1" x14ac:dyDescent="0.3">
      <c r="A9" s="1" t="s">
        <v>35</v>
      </c>
      <c r="B9" s="10" t="s">
        <v>78</v>
      </c>
      <c r="C9" s="9"/>
      <c r="D9" s="9"/>
      <c r="E9" s="9"/>
      <c r="F9" s="9"/>
      <c r="G9" s="9"/>
      <c r="H9" s="9"/>
    </row>
    <row r="10" spans="1:8" ht="14.25" customHeight="1" x14ac:dyDescent="0.3">
      <c r="B10" s="1" t="s">
        <v>77</v>
      </c>
      <c r="C10" s="4">
        <f>'[1]Data Sheet'!F17</f>
        <v>75381.929999999993</v>
      </c>
      <c r="D10" s="4">
        <f>'[1]Data Sheet'!G17</f>
        <v>74277.78</v>
      </c>
      <c r="E10" s="4">
        <f>'[1]Data Sheet'!H17</f>
        <v>90170.57</v>
      </c>
      <c r="F10" s="4">
        <f>'[1]Data Sheet'!I17</f>
        <v>121268.55</v>
      </c>
      <c r="G10" s="4">
        <f>'[1]Data Sheet'!J17</f>
        <v>139078.26999999999</v>
      </c>
      <c r="H10" s="4">
        <f>'[1]Data Sheet'!K17</f>
        <v>159210.82</v>
      </c>
    </row>
    <row r="11" spans="1:8" ht="14.25" customHeight="1" x14ac:dyDescent="0.3">
      <c r="B11" s="11" t="s">
        <v>76</v>
      </c>
      <c r="C11" s="11"/>
      <c r="D11" s="24">
        <f>IFERROR(D10/C10-1,0)</f>
        <v>-1.4647409531700739E-2</v>
      </c>
      <c r="E11" s="24">
        <f>E10/D10-1</f>
        <v>0.21396425687466714</v>
      </c>
      <c r="F11" s="24">
        <f>F10/E10-1</f>
        <v>0.3448794878417647</v>
      </c>
      <c r="G11" s="24">
        <f>G10/F10-1</f>
        <v>0.14686182031532491</v>
      </c>
      <c r="H11" s="24">
        <f>H10/G10-1</f>
        <v>0.14475697749188288</v>
      </c>
    </row>
    <row r="13" spans="1:8" ht="14.25" customHeight="1" x14ac:dyDescent="0.3">
      <c r="B13" s="1" t="s">
        <v>75</v>
      </c>
      <c r="C13" s="4">
        <f>IFERROR(SUM('[1]Data Sheet'!$F$18,'[1]Data Sheet'!$F$20:$F$22)-1*'[1]Data Sheet'!$F$19,0)</f>
        <v>50445.450000000004</v>
      </c>
      <c r="D13" s="4">
        <f>IFERROR(SUM('[1]Data Sheet'!G18,'[1]Data Sheet'!G20:G22)-1*'[1]Data Sheet'!G19,0)</f>
        <v>49173.009999999995</v>
      </c>
      <c r="E13" s="4">
        <f>IFERROR(SUM('[1]Data Sheet'!H18,'[1]Data Sheet'!H20:H22)-1*'[1]Data Sheet'!H19,0)</f>
        <v>63855.469999999987</v>
      </c>
      <c r="F13" s="4">
        <f>IFERROR(SUM('[1]Data Sheet'!I18,'[1]Data Sheet'!I20:I22)-1*'[1]Data Sheet'!I19,0)</f>
        <v>88334.409999999989</v>
      </c>
      <c r="G13" s="4">
        <f>IFERROR(SUM('[1]Data Sheet'!J18,'[1]Data Sheet'!J20:J22)-1*'[1]Data Sheet'!J19,0)</f>
        <v>98783.56</v>
      </c>
      <c r="H13" s="4">
        <f>IFERROR(SUM('[1]Data Sheet'!K18,'[1]Data Sheet'!K20:K22)-1*'[1]Data Sheet'!K19,0)</f>
        <v>111863.52</v>
      </c>
    </row>
    <row r="14" spans="1:8" ht="14.25" customHeight="1" x14ac:dyDescent="0.3">
      <c r="B14" s="11" t="s">
        <v>74</v>
      </c>
      <c r="C14" s="24">
        <f>C13/C10</f>
        <v>0.66919817521254776</v>
      </c>
      <c r="D14" s="24">
        <f>D13/D10</f>
        <v>0.66201507368690871</v>
      </c>
      <c r="E14" s="24">
        <f>E13/E10</f>
        <v>0.70816309578613046</v>
      </c>
      <c r="F14" s="24">
        <f>F13/F10</f>
        <v>0.72841977577863337</v>
      </c>
      <c r="G14" s="24">
        <f>G13/G10</f>
        <v>0.71027314331706892</v>
      </c>
      <c r="H14" s="24">
        <f>H13/H10</f>
        <v>0.70261254856924926</v>
      </c>
    </row>
    <row r="16" spans="1:8" ht="14.25" customHeight="1" x14ac:dyDescent="0.3">
      <c r="B16" s="1" t="s">
        <v>73</v>
      </c>
      <c r="C16" s="14">
        <f>C10-C13</f>
        <v>24936.479999999989</v>
      </c>
      <c r="D16" s="14">
        <f>D10-D13</f>
        <v>25104.770000000004</v>
      </c>
      <c r="E16" s="14">
        <f>E10-E13</f>
        <v>26315.10000000002</v>
      </c>
      <c r="F16" s="14">
        <f>F10-F13</f>
        <v>32934.140000000014</v>
      </c>
      <c r="G16" s="14">
        <f>G10-G13</f>
        <v>40294.709999999992</v>
      </c>
      <c r="H16" s="14">
        <f>H10-H13</f>
        <v>47347.3</v>
      </c>
    </row>
    <row r="17" spans="2:15" ht="14.25" customHeight="1" x14ac:dyDescent="0.3">
      <c r="B17" s="11" t="s">
        <v>72</v>
      </c>
      <c r="C17" s="24">
        <f>C16/C10</f>
        <v>0.33080182478745224</v>
      </c>
      <c r="D17" s="24">
        <f>D16/D10</f>
        <v>0.33798492631309129</v>
      </c>
      <c r="E17" s="24">
        <f>E16/E10</f>
        <v>0.29183690421386954</v>
      </c>
      <c r="F17" s="24">
        <f>F16/F10</f>
        <v>0.27158022422136663</v>
      </c>
      <c r="G17" s="24">
        <f>G16/G10</f>
        <v>0.28972685668293108</v>
      </c>
      <c r="H17" s="24">
        <f>H16/H10</f>
        <v>0.29738745143075074</v>
      </c>
    </row>
    <row r="19" spans="2:15" ht="14.25" customHeight="1" x14ac:dyDescent="0.3">
      <c r="B19" s="1" t="s">
        <v>71</v>
      </c>
      <c r="C19" s="14">
        <f>IFERROR(SUM('[1]Data Sheet'!F23:F24),0)</f>
        <v>14778.73</v>
      </c>
      <c r="D19" s="14">
        <f>IFERROR(SUM('[1]Data Sheet'!G23:G24),0)</f>
        <v>13617.75</v>
      </c>
      <c r="E19" s="14">
        <f>IFERROR(SUM('[1]Data Sheet'!H23:H24),0)</f>
        <v>11632.25</v>
      </c>
      <c r="F19" s="14">
        <f>IFERROR(SUM('[1]Data Sheet'!I23:I24),0)</f>
        <v>12648.849999999999</v>
      </c>
      <c r="G19" s="14">
        <f>IFERROR(SUM('[1]Data Sheet'!J23:J24),0)</f>
        <v>15402.78</v>
      </c>
      <c r="H19" s="14">
        <f>IFERROR(SUM('[1]Data Sheet'!K23:K24),0)</f>
        <v>16829.11</v>
      </c>
    </row>
    <row r="20" spans="2:15" ht="14.25" customHeight="1" x14ac:dyDescent="0.3">
      <c r="B20" s="11" t="s">
        <v>70</v>
      </c>
      <c r="C20" s="18">
        <f>C19/C10</f>
        <v>0.19605136138063858</v>
      </c>
      <c r="D20" s="18">
        <f>D19/D10</f>
        <v>0.18333544702062987</v>
      </c>
      <c r="E20" s="18">
        <f>E19/E10</f>
        <v>0.12900273337520213</v>
      </c>
      <c r="F20" s="18">
        <f>F19/F10</f>
        <v>0.10430445486484334</v>
      </c>
      <c r="G20" s="18">
        <f>G19/G10</f>
        <v>0.11074900485891867</v>
      </c>
      <c r="H20" s="18">
        <f>H19/H10</f>
        <v>0.10570330584315815</v>
      </c>
    </row>
    <row r="21" spans="2:15" ht="14.25" customHeight="1" x14ac:dyDescent="0.3">
      <c r="B21" s="23"/>
      <c r="J21" s="22"/>
      <c r="K21" s="22"/>
      <c r="L21" s="22"/>
      <c r="M21" s="22"/>
      <c r="N21" s="22"/>
      <c r="O21" s="22"/>
    </row>
    <row r="22" spans="2:15" ht="14.25" customHeight="1" x14ac:dyDescent="0.3">
      <c r="B22" s="1" t="s">
        <v>69</v>
      </c>
      <c r="C22" s="14">
        <f>C16-C19</f>
        <v>10157.749999999989</v>
      </c>
      <c r="D22" s="14">
        <f>D16-D19</f>
        <v>11487.020000000004</v>
      </c>
      <c r="E22" s="14">
        <f>E16-E19</f>
        <v>14682.85000000002</v>
      </c>
      <c r="F22" s="14">
        <f>F16-F19</f>
        <v>20285.290000000015</v>
      </c>
      <c r="G22" s="14">
        <f>G16-G19</f>
        <v>24891.929999999993</v>
      </c>
      <c r="H22" s="14">
        <f>H16-H19</f>
        <v>30518.190000000002</v>
      </c>
      <c r="J22" s="14"/>
      <c r="K22" s="14"/>
      <c r="L22" s="14"/>
      <c r="M22" s="14"/>
      <c r="N22" s="14"/>
      <c r="O22" s="14"/>
    </row>
    <row r="23" spans="2:15" ht="14.25" customHeight="1" x14ac:dyDescent="0.3">
      <c r="B23" s="11" t="s">
        <v>68</v>
      </c>
      <c r="C23" s="18">
        <f>C22/C10</f>
        <v>0.13475046340681368</v>
      </c>
      <c r="D23" s="18">
        <f>D22/D10</f>
        <v>0.15464947929246142</v>
      </c>
      <c r="E23" s="18">
        <f>E22/E10</f>
        <v>0.16283417083866741</v>
      </c>
      <c r="F23" s="18">
        <f>F22/F10</f>
        <v>0.1672757693565233</v>
      </c>
      <c r="G23" s="18">
        <f>G22/G10</f>
        <v>0.17897785182401243</v>
      </c>
      <c r="H23" s="18">
        <f>H22/H10</f>
        <v>0.19168414558759261</v>
      </c>
    </row>
    <row r="25" spans="2:15" ht="14.25" customHeight="1" x14ac:dyDescent="0.3">
      <c r="B25" s="1" t="s">
        <v>67</v>
      </c>
      <c r="C25" s="14">
        <f>'[1]Data Sheet'!F27</f>
        <v>6021.15</v>
      </c>
      <c r="D25" s="14">
        <f>'[1]Data Sheet'!G27</f>
        <v>6102.22</v>
      </c>
      <c r="E25" s="14">
        <f>'[1]Data Sheet'!H27</f>
        <v>5018.05</v>
      </c>
      <c r="F25" s="14">
        <f>'[1]Data Sheet'!I27</f>
        <v>5829.7</v>
      </c>
      <c r="G25" s="14">
        <f>'[1]Data Sheet'!J27</f>
        <v>7488.21</v>
      </c>
      <c r="H25" s="14">
        <f>'[1]Data Sheet'!K27</f>
        <v>9083.39</v>
      </c>
      <c r="L25" s="14"/>
      <c r="M25" s="14"/>
    </row>
    <row r="26" spans="2:15" ht="14.25" customHeight="1" x14ac:dyDescent="0.3">
      <c r="B26" s="11" t="s">
        <v>66</v>
      </c>
      <c r="C26" s="18">
        <f>C25/C10</f>
        <v>7.9875243310963254E-2</v>
      </c>
      <c r="D26" s="18">
        <f>D25/D10</f>
        <v>8.2154043914613506E-2</v>
      </c>
      <c r="E26" s="18">
        <f>E25/E10</f>
        <v>5.5650640780023901E-2</v>
      </c>
      <c r="F26" s="18">
        <f>F25/F10</f>
        <v>4.8072645380851008E-2</v>
      </c>
      <c r="G26" s="18">
        <f>G25/G10</f>
        <v>5.3841696477817856E-2</v>
      </c>
      <c r="H26" s="18">
        <f>H25/H10</f>
        <v>5.7052592279846298E-2</v>
      </c>
    </row>
    <row r="28" spans="2:15" ht="14.25" customHeight="1" x14ac:dyDescent="0.3">
      <c r="B28" s="1" t="s">
        <v>65</v>
      </c>
      <c r="C28" s="14">
        <f>'[1]Data Sheet'!F26</f>
        <v>3366.68</v>
      </c>
      <c r="D28" s="14">
        <f>'[1]Data Sheet'!G26</f>
        <v>3378.11</v>
      </c>
      <c r="E28" s="14">
        <f>'[1]Data Sheet'!H26</f>
        <v>3507.5</v>
      </c>
      <c r="F28" s="14">
        <f>'[1]Data Sheet'!I26</f>
        <v>4356.8100000000004</v>
      </c>
      <c r="G28" s="14">
        <f>'[1]Data Sheet'!J26</f>
        <v>4723.78</v>
      </c>
      <c r="H28" s="14">
        <f>'[1]Data Sheet'!K26</f>
        <v>6073.65</v>
      </c>
    </row>
    <row r="29" spans="2:15" ht="14.25" customHeight="1" x14ac:dyDescent="0.3">
      <c r="B29" s="11" t="s">
        <v>64</v>
      </c>
      <c r="C29" s="18">
        <f>C28/C10</f>
        <v>4.4661631773025713E-2</v>
      </c>
      <c r="D29" s="18">
        <f>D28/D10</f>
        <v>4.5479415243697377E-2</v>
      </c>
      <c r="E29" s="18">
        <f>E28/E10</f>
        <v>3.8898500918869643E-2</v>
      </c>
      <c r="F29" s="18">
        <f>F28/F10</f>
        <v>3.5926957154183835E-2</v>
      </c>
      <c r="G29" s="18">
        <f>G28/G10</f>
        <v>3.3964903359813149E-2</v>
      </c>
      <c r="H29" s="18">
        <f>H28/H10</f>
        <v>3.8148475084796366E-2</v>
      </c>
    </row>
    <row r="30" spans="2:15" ht="14.25" customHeight="1" x14ac:dyDescent="0.3">
      <c r="N30" s="14"/>
      <c r="O30" s="14"/>
    </row>
    <row r="31" spans="2:15" ht="14.25" customHeight="1" x14ac:dyDescent="0.3">
      <c r="B31" s="1" t="s">
        <v>63</v>
      </c>
      <c r="C31" s="14">
        <f>C22-(SUM(C25,C28))</f>
        <v>769.91999999998916</v>
      </c>
      <c r="D31" s="14">
        <f>D22-(SUM(D25,D28))</f>
        <v>2006.6900000000041</v>
      </c>
      <c r="E31" s="14">
        <f>E22-(SUM(E25,E28))</f>
        <v>6157.3000000000211</v>
      </c>
      <c r="F31" s="14">
        <f>F22-(SUM(F25,F28))</f>
        <v>10098.780000000015</v>
      </c>
      <c r="G31" s="14">
        <f>G22-(SUM(G25,G28))</f>
        <v>12679.939999999993</v>
      </c>
      <c r="H31" s="14">
        <f>H22-(SUM(H25,H28))</f>
        <v>15361.150000000003</v>
      </c>
    </row>
    <row r="32" spans="2:15" ht="14.25" customHeight="1" x14ac:dyDescent="0.3">
      <c r="B32" s="11" t="s">
        <v>62</v>
      </c>
      <c r="C32" s="18">
        <f>C31/C10</f>
        <v>1.0213588322824704E-2</v>
      </c>
      <c r="D32" s="18">
        <f>D31/D10</f>
        <v>2.701602013415054E-2</v>
      </c>
      <c r="E32" s="18">
        <f>E31/E10</f>
        <v>6.8285029139773884E-2</v>
      </c>
      <c r="F32" s="18">
        <f>F31/F10</f>
        <v>8.3276166821488459E-2</v>
      </c>
      <c r="G32" s="18">
        <f>G31/G10</f>
        <v>9.1171251986381444E-2</v>
      </c>
      <c r="H32" s="18">
        <f>H31/H10</f>
        <v>9.6483078222949936E-2</v>
      </c>
    </row>
    <row r="33" spans="2:10" ht="14.25" customHeight="1" x14ac:dyDescent="0.3">
      <c r="B33" s="19"/>
      <c r="C33" s="22"/>
      <c r="D33" s="22"/>
      <c r="E33" s="22"/>
      <c r="F33" s="22"/>
      <c r="G33" s="22"/>
      <c r="H33" s="22"/>
    </row>
    <row r="34" spans="2:10" ht="14.25" customHeight="1" x14ac:dyDescent="0.3">
      <c r="B34" s="1" t="s">
        <v>61</v>
      </c>
      <c r="C34" s="14">
        <f>'[1]Data Sheet'!F25</f>
        <v>884.69</v>
      </c>
      <c r="D34" s="14">
        <f>'[1]Data Sheet'!G25</f>
        <v>1151.51</v>
      </c>
      <c r="E34" s="14">
        <f>'[1]Data Sheet'!H25</f>
        <v>3204.47</v>
      </c>
      <c r="F34" s="14">
        <f>'[1]Data Sheet'!I25</f>
        <v>3961.45</v>
      </c>
      <c r="G34" s="14">
        <f>'[1]Data Sheet'!J25</f>
        <v>3297.85</v>
      </c>
      <c r="H34" s="14">
        <f>'[1]Data Sheet'!K25</f>
        <v>3718.47</v>
      </c>
    </row>
    <row r="35" spans="2:10" ht="14.25" customHeight="1" x14ac:dyDescent="0.3">
      <c r="B35" s="11" t="s">
        <v>60</v>
      </c>
      <c r="C35" s="18">
        <f>C34/C10</f>
        <v>1.173610174215492E-2</v>
      </c>
      <c r="D35" s="18">
        <f>D34/D10</f>
        <v>1.5502751967008168E-2</v>
      </c>
      <c r="E35" s="18">
        <f>E34/E10</f>
        <v>3.5537870061151874E-2</v>
      </c>
      <c r="F35" s="18">
        <f>F34/F10</f>
        <v>3.2666754900590463E-2</v>
      </c>
      <c r="G35" s="18">
        <f>G34/G10</f>
        <v>2.3712187389158638E-2</v>
      </c>
      <c r="H35" s="18">
        <f>H34/H10</f>
        <v>2.3355636256380059E-2</v>
      </c>
    </row>
    <row r="37" spans="2:10" ht="14.25" customHeight="1" x14ac:dyDescent="0.3">
      <c r="B37" s="1" t="s">
        <v>59</v>
      </c>
      <c r="C37" s="14">
        <f>'[1]Data Sheet'!F29</f>
        <v>1975.61</v>
      </c>
      <c r="D37" s="14">
        <f>'[1]Data Sheet'!G29</f>
        <v>1645.81</v>
      </c>
      <c r="E37" s="14">
        <f>'[1]Data Sheet'!H29</f>
        <v>2108.7600000000002</v>
      </c>
      <c r="F37" s="14">
        <f>'[1]Data Sheet'!I29</f>
        <v>2685.75</v>
      </c>
      <c r="G37" s="14">
        <f>'[1]Data Sheet'!J29</f>
        <v>3707.97</v>
      </c>
      <c r="H37" s="14">
        <f>'[1]Data Sheet'!K29</f>
        <v>5006.45</v>
      </c>
    </row>
    <row r="38" spans="2:10" ht="14.25" customHeight="1" x14ac:dyDescent="0.3">
      <c r="B38" s="19" t="s">
        <v>58</v>
      </c>
      <c r="C38" s="18">
        <f>C37/SUM(C31,C34)</f>
        <v>1.194003420745682</v>
      </c>
      <c r="D38" s="18">
        <f>D37/SUM(D31,D34)</f>
        <v>0.52112279146349116</v>
      </c>
      <c r="E38" s="18">
        <f>E37/SUM(E31,E34)</f>
        <v>0.22525227601190753</v>
      </c>
      <c r="F38" s="18">
        <f>F37/SUM(F31,F34)</f>
        <v>0.19101750113618321</v>
      </c>
      <c r="G38" s="18">
        <f>G37/SUM(G31,G34)</f>
        <v>0.23207026754012922</v>
      </c>
      <c r="H38" s="18">
        <f>H37/SUM(H31,H34)</f>
        <v>0.26239778360365662</v>
      </c>
      <c r="J38" s="21"/>
    </row>
    <row r="40" spans="2:10" ht="14.25" customHeight="1" x14ac:dyDescent="0.3">
      <c r="B40" s="1" t="s">
        <v>57</v>
      </c>
      <c r="C40" s="14">
        <f>SUM(C31,C34)-C37</f>
        <v>-321.00000000001069</v>
      </c>
      <c r="D40" s="14">
        <f>SUM(D31,D34)-D37</f>
        <v>1512.3900000000044</v>
      </c>
      <c r="E40" s="14">
        <f>SUM(E31,E34)-E37</f>
        <v>7253.0100000000202</v>
      </c>
      <c r="F40" s="14">
        <f>SUM(F31,F34)-F37</f>
        <v>11374.480000000014</v>
      </c>
      <c r="G40" s="14">
        <f>SUM(G31,G34)-G37</f>
        <v>12269.819999999994</v>
      </c>
      <c r="H40" s="14">
        <f>SUM(H31,H34)-H37</f>
        <v>14073.170000000002</v>
      </c>
    </row>
    <row r="41" spans="2:10" ht="14.25" customHeight="1" x14ac:dyDescent="0.3">
      <c r="B41" s="19" t="s">
        <v>56</v>
      </c>
      <c r="C41" s="18">
        <f>C40/C10</f>
        <v>-4.2583149569135562E-3</v>
      </c>
      <c r="D41" s="18">
        <f>D40/D10</f>
        <v>2.0361270894202876E-2</v>
      </c>
      <c r="E41" s="18">
        <f>E40/E10</f>
        <v>8.0436554853762374E-2</v>
      </c>
      <c r="F41" s="18">
        <f>F40/F10</f>
        <v>9.3795794540299307E-2</v>
      </c>
      <c r="G41" s="18">
        <f>G40/G10</f>
        <v>8.8222408863728285E-2</v>
      </c>
      <c r="H41" s="18">
        <f>H40/H10</f>
        <v>8.8393301410042369E-2</v>
      </c>
    </row>
    <row r="43" spans="2:10" ht="14.25" customHeight="1" x14ac:dyDescent="0.3">
      <c r="B43" s="1" t="s">
        <v>55</v>
      </c>
      <c r="C43" s="20">
        <f>'[1]Data Sheet'!F94</f>
        <v>124.32</v>
      </c>
      <c r="D43" s="20">
        <f>'[1]Data Sheet'!G94</f>
        <v>124.32</v>
      </c>
      <c r="E43" s="20">
        <f>'[1]Data Sheet'!H94</f>
        <v>124.32</v>
      </c>
      <c r="F43" s="20">
        <f>'[1]Data Sheet'!I94</f>
        <v>124.35</v>
      </c>
      <c r="G43" s="20">
        <f>'[1]Data Sheet'!J94</f>
        <v>124.35</v>
      </c>
      <c r="H43" s="20">
        <f>'[1]Data Sheet'!K94</f>
        <v>124.35</v>
      </c>
    </row>
    <row r="45" spans="2:10" ht="14.25" customHeight="1" x14ac:dyDescent="0.3">
      <c r="B45" s="1" t="s">
        <v>54</v>
      </c>
      <c r="C45" s="14">
        <f>C40/C43</f>
        <v>-2.582046332046418</v>
      </c>
      <c r="D45" s="14">
        <f>D40/D43</f>
        <v>12.165299227799265</v>
      </c>
      <c r="E45" s="14">
        <f>E40/E43</f>
        <v>58.341457528957697</v>
      </c>
      <c r="F45" s="14">
        <f>F40/F43</f>
        <v>91.47149175713723</v>
      </c>
      <c r="G45" s="14">
        <f>G40/G43</f>
        <v>98.671652593486087</v>
      </c>
      <c r="H45" s="14">
        <f>H40/H43</f>
        <v>113.1738640932851</v>
      </c>
    </row>
    <row r="46" spans="2:10" ht="14.25" customHeight="1" x14ac:dyDescent="0.3">
      <c r="B46" s="19" t="s">
        <v>53</v>
      </c>
      <c r="C46" s="19"/>
      <c r="D46" s="18">
        <f>D45/C45-1</f>
        <v>-5.7114953271026616</v>
      </c>
      <c r="E46" s="18">
        <f>E45/D45-1</f>
        <v>3.7957272925634253</v>
      </c>
      <c r="F46" s="18">
        <f>F45/E45-1</f>
        <v>0.56786435634960752</v>
      </c>
      <c r="G46" s="18">
        <f>G45/F45-1</f>
        <v>7.8714807182392432E-2</v>
      </c>
      <c r="H46" s="18">
        <f>H45/G45-1</f>
        <v>0.14697444624289591</v>
      </c>
    </row>
    <row r="48" spans="2:10" ht="14.25" customHeight="1" x14ac:dyDescent="0.3">
      <c r="B48" s="1" t="s">
        <v>52</v>
      </c>
      <c r="C48" s="14">
        <f>'[1]Data Sheet'!F31/'M&amp;M PROJECT 3 Statement'!C43</f>
        <v>2.0954794079794081</v>
      </c>
      <c r="D48" s="14">
        <f>'[1]Data Sheet'!G31/'M&amp;M PROJECT 3 Statement'!D43</f>
        <v>7.8145913770913777</v>
      </c>
      <c r="E48" s="14">
        <f>'[1]Data Sheet'!H31/'M&amp;M PROJECT 3 Statement'!E43</f>
        <v>10.332207207207208</v>
      </c>
      <c r="F48" s="14">
        <f>'[1]Data Sheet'!I31/'M&amp;M PROJECT 3 Statement'!F43</f>
        <v>14.55295536791315</v>
      </c>
      <c r="G48" s="14">
        <f>'[1]Data Sheet'!J31/'M&amp;M PROJECT 3 Statement'!G43</f>
        <v>18.915480498592682</v>
      </c>
      <c r="H48" s="14">
        <f>'[1]Data Sheet'!K31/'M&amp;M PROJECT 3 Statement'!H43</f>
        <v>22.712022517088862</v>
      </c>
    </row>
    <row r="49" spans="1:8" ht="14.25" customHeight="1" x14ac:dyDescent="0.3">
      <c r="B49" s="19" t="s">
        <v>51</v>
      </c>
      <c r="C49" s="18">
        <f>C48/C45</f>
        <v>-0.81155763239872691</v>
      </c>
      <c r="D49" s="18">
        <f>D48/D45</f>
        <v>0.64236737878457084</v>
      </c>
      <c r="E49" s="18">
        <f>E48/E45</f>
        <v>0.17709888722061551</v>
      </c>
      <c r="F49" s="18">
        <f>F48/F45</f>
        <v>0.15909826207439795</v>
      </c>
      <c r="G49" s="18">
        <f>G48/G45</f>
        <v>0.19170126375122057</v>
      </c>
      <c r="H49" s="18">
        <f>H48/H45</f>
        <v>0.20068257542543716</v>
      </c>
    </row>
    <row r="52" spans="1:8" ht="14.25" customHeight="1" x14ac:dyDescent="0.3">
      <c r="A52" s="1" t="s">
        <v>35</v>
      </c>
      <c r="B52" s="10" t="s">
        <v>50</v>
      </c>
      <c r="C52" s="9"/>
      <c r="D52" s="9"/>
      <c r="E52" s="9"/>
      <c r="F52" s="9"/>
      <c r="G52" s="9"/>
      <c r="H52" s="9"/>
    </row>
    <row r="53" spans="1:8" ht="14.25" customHeight="1" x14ac:dyDescent="0.3">
      <c r="B53" s="15" t="s">
        <v>49</v>
      </c>
      <c r="C53" s="14">
        <f>'[1]Data Sheet'!F57</f>
        <v>554.28</v>
      </c>
      <c r="D53" s="14">
        <f>'[1]Data Sheet'!G57</f>
        <v>555.15</v>
      </c>
      <c r="E53" s="14">
        <f>'[1]Data Sheet'!H57</f>
        <v>556.05999999999995</v>
      </c>
      <c r="F53" s="14">
        <f>'[1]Data Sheet'!I57</f>
        <v>556.82000000000005</v>
      </c>
      <c r="G53" s="14">
        <f>'[1]Data Sheet'!J57</f>
        <v>557.38</v>
      </c>
      <c r="H53" s="14">
        <f>'[1]Data Sheet'!K57</f>
        <v>558.15</v>
      </c>
    </row>
    <row r="54" spans="1:8" ht="14.25" customHeight="1" x14ac:dyDescent="0.3">
      <c r="B54" s="15" t="s">
        <v>48</v>
      </c>
      <c r="C54" s="14">
        <f>'[1]Data Sheet'!F58</f>
        <v>39415.03</v>
      </c>
      <c r="D54" s="14">
        <f>'[1]Data Sheet'!G58</f>
        <v>41026.769999999997</v>
      </c>
      <c r="E54" s="14">
        <f>'[1]Data Sheet'!H58</f>
        <v>46566.58</v>
      </c>
      <c r="F54" s="14">
        <f>'[1]Data Sheet'!I58</f>
        <v>55808.97</v>
      </c>
      <c r="G54" s="14">
        <f>'[1]Data Sheet'!J58</f>
        <v>65633.17</v>
      </c>
      <c r="H54" s="14">
        <f>'[1]Data Sheet'!K58</f>
        <v>76480.710000000006</v>
      </c>
    </row>
    <row r="55" spans="1:8" ht="14.25" customHeight="1" x14ac:dyDescent="0.3">
      <c r="B55" s="15" t="s">
        <v>47</v>
      </c>
      <c r="C55" s="14">
        <f>'[1]Data Sheet'!F59</f>
        <v>82092.28</v>
      </c>
      <c r="D55" s="14">
        <f>'[1]Data Sheet'!G59</f>
        <v>80624.83</v>
      </c>
      <c r="E55" s="14">
        <f>'[1]Data Sheet'!H59</f>
        <v>77605.210000000006</v>
      </c>
      <c r="F55" s="14">
        <f>'[1]Data Sheet'!I59</f>
        <v>92246.85</v>
      </c>
      <c r="G55" s="14">
        <f>'[1]Data Sheet'!J59</f>
        <v>108647.25</v>
      </c>
      <c r="H55" s="14">
        <f>'[1]Data Sheet'!K59</f>
        <v>129024.58</v>
      </c>
    </row>
    <row r="56" spans="1:8" ht="14.25" customHeight="1" x14ac:dyDescent="0.3">
      <c r="B56" s="15" t="s">
        <v>46</v>
      </c>
      <c r="C56" s="14">
        <f>'[1]Data Sheet'!F60</f>
        <v>43654.54</v>
      </c>
      <c r="D56" s="14">
        <f>'[1]Data Sheet'!G60</f>
        <v>42761.58</v>
      </c>
      <c r="E56" s="14">
        <f>'[1]Data Sheet'!H60</f>
        <v>47660.639999999999</v>
      </c>
      <c r="F56" s="14">
        <f>'[1]Data Sheet'!I60</f>
        <v>55670.49</v>
      </c>
      <c r="G56" s="14">
        <f>'[1]Data Sheet'!J60</f>
        <v>59883.94</v>
      </c>
      <c r="H56" s="14">
        <f>'[1]Data Sheet'!K60</f>
        <v>69949.72</v>
      </c>
    </row>
    <row r="57" spans="1:8" ht="14.25" customHeight="1" x14ac:dyDescent="0.3">
      <c r="B57" s="13" t="s">
        <v>45</v>
      </c>
      <c r="C57" s="12">
        <f>SUM('M&amp;M PROJECT 3 Statement'!C53:C56)</f>
        <v>165716.13</v>
      </c>
      <c r="D57" s="12">
        <f>SUM('M&amp;M PROJECT 3 Statement'!D53:D56)</f>
        <v>164968.33000000002</v>
      </c>
      <c r="E57" s="12">
        <f>SUM('M&amp;M PROJECT 3 Statement'!E53:E56)</f>
        <v>172388.49</v>
      </c>
      <c r="F57" s="12">
        <f>SUM('M&amp;M PROJECT 3 Statement'!F53:F56)</f>
        <v>204283.13</v>
      </c>
      <c r="G57" s="12">
        <f>SUM('M&amp;M PROJECT 3 Statement'!G53:G56)</f>
        <v>234721.74</v>
      </c>
      <c r="H57" s="12">
        <f>SUM('M&amp;M PROJECT 3 Statement'!H53:H56)</f>
        <v>276013.16000000003</v>
      </c>
    </row>
    <row r="58" spans="1:8" ht="14.25" customHeight="1" x14ac:dyDescent="0.3">
      <c r="B58" s="17"/>
    </row>
    <row r="59" spans="1:8" ht="14.25" customHeight="1" x14ac:dyDescent="0.3">
      <c r="B59" s="15" t="s">
        <v>44</v>
      </c>
      <c r="C59" s="14">
        <f>'[1]Data Sheet'!F62</f>
        <v>29689.27</v>
      </c>
      <c r="D59" s="14">
        <f>'[1]Data Sheet'!G62</f>
        <v>21379.68</v>
      </c>
      <c r="E59" s="14">
        <f>'[1]Data Sheet'!H62</f>
        <v>26018.49</v>
      </c>
      <c r="F59" s="14">
        <f>'[1]Data Sheet'!I62</f>
        <v>27139.98</v>
      </c>
      <c r="G59" s="14">
        <f>'[1]Data Sheet'!J62</f>
        <v>28129.41</v>
      </c>
      <c r="H59" s="14">
        <f>'[1]Data Sheet'!K62</f>
        <v>34636.36</v>
      </c>
    </row>
    <row r="60" spans="1:8" ht="14.25" customHeight="1" x14ac:dyDescent="0.3">
      <c r="B60" s="15" t="s">
        <v>43</v>
      </c>
      <c r="C60" s="14">
        <f>'[1]Data Sheet'!F63</f>
        <v>6856.48</v>
      </c>
      <c r="D60" s="14">
        <f>'[1]Data Sheet'!G63</f>
        <v>7872.61</v>
      </c>
      <c r="E60" s="14">
        <f>'[1]Data Sheet'!H63</f>
        <v>6702.81</v>
      </c>
      <c r="F60" s="14">
        <f>'[1]Data Sheet'!I63</f>
        <v>3968.58</v>
      </c>
      <c r="G60" s="14">
        <f>'[1]Data Sheet'!J63</f>
        <v>8039.3</v>
      </c>
      <c r="H60" s="14">
        <f>'[1]Data Sheet'!K63</f>
        <v>8297.64</v>
      </c>
    </row>
    <row r="61" spans="1:8" ht="14.25" customHeight="1" x14ac:dyDescent="0.3">
      <c r="B61" s="15" t="s">
        <v>42</v>
      </c>
      <c r="C61" s="14">
        <f>'[1]Data Sheet'!F64</f>
        <v>19210.34</v>
      </c>
      <c r="D61" s="14">
        <f>'[1]Data Sheet'!G64</f>
        <v>28777.66</v>
      </c>
      <c r="E61" s="14">
        <f>'[1]Data Sheet'!H64</f>
        <v>30060.43</v>
      </c>
      <c r="F61" s="14">
        <f>'[1]Data Sheet'!I64</f>
        <v>35272.42</v>
      </c>
      <c r="G61" s="14">
        <f>'[1]Data Sheet'!J64</f>
        <v>35208.1</v>
      </c>
      <c r="H61" s="14">
        <f>'[1]Data Sheet'!K64</f>
        <v>41308.57</v>
      </c>
    </row>
    <row r="62" spans="1:8" ht="14.25" customHeight="1" x14ac:dyDescent="0.3">
      <c r="B62" s="15" t="s">
        <v>41</v>
      </c>
      <c r="C62" s="14">
        <f>'[1]Data Sheet'!F65</f>
        <v>109960.04</v>
      </c>
      <c r="D62" s="14">
        <f>'[1]Data Sheet'!G65</f>
        <v>106938.38</v>
      </c>
      <c r="E62" s="14">
        <f>'[1]Data Sheet'!H65</f>
        <v>109606.76</v>
      </c>
      <c r="F62" s="14">
        <f>'[1]Data Sheet'!I65</f>
        <v>137902.15</v>
      </c>
      <c r="G62" s="14">
        <f>'[1]Data Sheet'!J65</f>
        <v>163344.93</v>
      </c>
      <c r="H62" s="14">
        <f>'[1]Data Sheet'!K65</f>
        <v>191770.59</v>
      </c>
    </row>
    <row r="63" spans="1:8" ht="14.25" customHeight="1" x14ac:dyDescent="0.3">
      <c r="B63" s="17" t="s">
        <v>40</v>
      </c>
      <c r="C63" s="16">
        <f>SUM(C59:C62)</f>
        <v>165716.13</v>
      </c>
      <c r="D63" s="16">
        <f>SUM(D59:D62)</f>
        <v>164968.33000000002</v>
      </c>
      <c r="E63" s="16">
        <f>SUM(E59:E62)</f>
        <v>172388.49</v>
      </c>
      <c r="F63" s="16">
        <f>SUM(F59:F62)</f>
        <v>204283.13</v>
      </c>
      <c r="G63" s="16">
        <f>SUM(G59:G62)</f>
        <v>234721.74</v>
      </c>
      <c r="H63" s="16">
        <f>SUM(H59:H62)</f>
        <v>276013.16000000003</v>
      </c>
    </row>
    <row r="65" spans="1:13" ht="14.25" customHeight="1" x14ac:dyDescent="0.3">
      <c r="B65" s="15" t="s">
        <v>31</v>
      </c>
      <c r="C65" s="14">
        <f>'[1]Data Sheet'!F67</f>
        <v>6928.28</v>
      </c>
      <c r="D65" s="14">
        <f>'[1]Data Sheet'!G67</f>
        <v>6007.76</v>
      </c>
      <c r="E65" s="14">
        <f>'[1]Data Sheet'!H67</f>
        <v>6373.95</v>
      </c>
      <c r="F65" s="14">
        <f>'[1]Data Sheet'!I67</f>
        <v>7028.02</v>
      </c>
      <c r="G65" s="14">
        <f>'[1]Data Sheet'!J67</f>
        <v>7459.4</v>
      </c>
      <c r="H65" s="14">
        <f>'[1]Data Sheet'!K67</f>
        <v>8279.7000000000007</v>
      </c>
    </row>
    <row r="66" spans="1:13" ht="14.25" customHeight="1" x14ac:dyDescent="0.3">
      <c r="B66" s="15" t="s">
        <v>30</v>
      </c>
      <c r="C66" s="14">
        <f>'[1]Data Sheet'!F68</f>
        <v>11111.86</v>
      </c>
      <c r="D66" s="14">
        <f>'[1]Data Sheet'!G68</f>
        <v>9615.41</v>
      </c>
      <c r="E66" s="14">
        <f>'[1]Data Sheet'!H68</f>
        <v>11595.82</v>
      </c>
      <c r="F66" s="14">
        <f>'[1]Data Sheet'!I68</f>
        <v>16854.97</v>
      </c>
      <c r="G66" s="14">
        <f>'[1]Data Sheet'!J68</f>
        <v>18590.47</v>
      </c>
      <c r="H66" s="14">
        <f>'[1]Data Sheet'!K68</f>
        <v>20330.93</v>
      </c>
    </row>
    <row r="67" spans="1:13" ht="14.25" customHeight="1" x14ac:dyDescent="0.3">
      <c r="B67" s="15" t="s">
        <v>39</v>
      </c>
      <c r="C67" s="14">
        <f>'[1]Data Sheet'!F69</f>
        <v>7910.9</v>
      </c>
      <c r="D67" s="14">
        <f>'[1]Data Sheet'!G69</f>
        <v>12851.99</v>
      </c>
      <c r="E67" s="14">
        <f>'[1]Data Sheet'!H69</f>
        <v>11117.61</v>
      </c>
      <c r="F67" s="14">
        <f>'[1]Data Sheet'!I69</f>
        <v>11273.43</v>
      </c>
      <c r="G67" s="14">
        <f>'[1]Data Sheet'!J69</f>
        <v>12012.75</v>
      </c>
      <c r="H67" s="14">
        <f>'[1]Data Sheet'!K69</f>
        <v>20614.84</v>
      </c>
    </row>
    <row r="68" spans="1:13" ht="14.25" customHeight="1" x14ac:dyDescent="0.3">
      <c r="B68" s="15" t="s">
        <v>38</v>
      </c>
      <c r="C68" s="14">
        <f>SUM(C65:C67)</f>
        <v>25951.040000000001</v>
      </c>
      <c r="D68" s="14">
        <f>SUM(D65:D67)</f>
        <v>28475.16</v>
      </c>
      <c r="E68" s="14">
        <f>SUM(E65:E67)</f>
        <v>29087.38</v>
      </c>
      <c r="F68" s="14">
        <f>SUM(F65:F67)</f>
        <v>35156.42</v>
      </c>
      <c r="G68" s="14">
        <f>SUM(G65:G67)</f>
        <v>38062.620000000003</v>
      </c>
      <c r="H68" s="14">
        <f>SUM(H65:H67)</f>
        <v>49225.47</v>
      </c>
    </row>
    <row r="70" spans="1:13" ht="14.25" customHeight="1" x14ac:dyDescent="0.3">
      <c r="B70" s="13" t="s">
        <v>37</v>
      </c>
      <c r="C70" s="12">
        <f>C63</f>
        <v>165716.13</v>
      </c>
      <c r="D70" s="12">
        <f>D63</f>
        <v>164968.33000000002</v>
      </c>
      <c r="E70" s="12">
        <f>E63</f>
        <v>172388.49</v>
      </c>
      <c r="F70" s="12">
        <f>F63</f>
        <v>204283.13</v>
      </c>
      <c r="G70" s="12">
        <f>G63</f>
        <v>234721.74</v>
      </c>
      <c r="H70" s="12">
        <f>H63</f>
        <v>276013.16000000003</v>
      </c>
    </row>
    <row r="72" spans="1:13" ht="14.25" customHeight="1" x14ac:dyDescent="0.3">
      <c r="B72" s="11" t="s">
        <v>36</v>
      </c>
      <c r="C72" s="11" t="b">
        <f>C70=C57</f>
        <v>1</v>
      </c>
      <c r="D72" s="11" t="b">
        <f>D70=D57</f>
        <v>1</v>
      </c>
      <c r="E72" s="11" t="b">
        <f>E70=E57</f>
        <v>1</v>
      </c>
      <c r="F72" s="11" t="b">
        <f>F70=F57</f>
        <v>1</v>
      </c>
      <c r="G72" s="11" t="b">
        <f>G70=G57</f>
        <v>1</v>
      </c>
      <c r="H72" s="11" t="b">
        <f>H70=H57</f>
        <v>1</v>
      </c>
    </row>
    <row r="74" spans="1:13" ht="14.25" customHeight="1" x14ac:dyDescent="0.3">
      <c r="A74" s="1" t="s">
        <v>35</v>
      </c>
      <c r="B74" s="10" t="s">
        <v>34</v>
      </c>
      <c r="C74" s="9"/>
      <c r="D74" s="9"/>
      <c r="E74" s="9"/>
      <c r="F74" s="9"/>
      <c r="G74" s="9"/>
      <c r="H74" s="9"/>
    </row>
    <row r="75" spans="1:13" ht="14.25" customHeight="1" x14ac:dyDescent="0.3">
      <c r="B75" s="7" t="s">
        <v>33</v>
      </c>
    </row>
    <row r="76" spans="1:13" ht="14.25" customHeight="1" x14ac:dyDescent="0.3">
      <c r="B76" s="1" t="s">
        <v>32</v>
      </c>
      <c r="C76" s="4">
        <f>'[1]Raw Data (Source)'!K55</f>
        <v>7774</v>
      </c>
      <c r="D76" s="4">
        <f>'[1]Raw Data (Source)'!L55</f>
        <v>7588</v>
      </c>
      <c r="E76" s="4">
        <f>'[1]Raw Data (Source)'!M55</f>
        <v>10515</v>
      </c>
      <c r="F76" s="4">
        <f>'[1]Raw Data (Source)'!N55</f>
        <v>15642</v>
      </c>
      <c r="G76" s="4">
        <f>'[1]Raw Data (Source)'!O55</f>
        <v>17541</v>
      </c>
      <c r="H76" s="4">
        <f>'[1]Raw Data (Source)'!P55</f>
        <v>22050</v>
      </c>
    </row>
    <row r="77" spans="1:13" ht="14.25" customHeight="1" x14ac:dyDescent="0.3">
      <c r="B77" s="1" t="s">
        <v>31</v>
      </c>
      <c r="C77" s="4">
        <f>'[1]Raw Data (Source)'!K56</f>
        <v>-1516</v>
      </c>
      <c r="D77" s="4">
        <f>'[1]Raw Data (Source)'!L56</f>
        <v>4896</v>
      </c>
      <c r="E77" s="4">
        <f>'[1]Raw Data (Source)'!M56</f>
        <v>-2506</v>
      </c>
      <c r="F77" s="4">
        <f>'[1]Raw Data (Source)'!N56</f>
        <v>-21702</v>
      </c>
      <c r="G77" s="4">
        <f>'[1]Raw Data (Source)'!O56</f>
        <v>-21777</v>
      </c>
      <c r="H77" s="4">
        <f>'[1]Raw Data (Source)'!P56</f>
        <v>-20952</v>
      </c>
    </row>
    <row r="78" spans="1:13" ht="14.25" customHeight="1" x14ac:dyDescent="0.3">
      <c r="B78" s="1" t="s">
        <v>30</v>
      </c>
      <c r="C78" s="4">
        <f>'[1]Raw Data (Source)'!K57</f>
        <v>1316</v>
      </c>
      <c r="D78" s="4">
        <f>'[1]Raw Data (Source)'!L57</f>
        <v>226</v>
      </c>
      <c r="E78" s="4">
        <f>'[1]Raw Data (Source)'!M57</f>
        <v>-2173</v>
      </c>
      <c r="F78" s="4">
        <f>'[1]Raw Data (Source)'!N57</f>
        <v>-5252</v>
      </c>
      <c r="G78" s="4">
        <f>'[1]Raw Data (Source)'!O57</f>
        <v>-1753</v>
      </c>
      <c r="H78" s="4">
        <f>'[1]Raw Data (Source)'!P57</f>
        <v>-1646</v>
      </c>
      <c r="M78" s="8"/>
    </row>
    <row r="79" spans="1:13" ht="14.25" customHeight="1" x14ac:dyDescent="0.3">
      <c r="B79" s="1" t="s">
        <v>29</v>
      </c>
      <c r="C79" s="4">
        <f>'[1]Raw Data (Source)'!K58</f>
        <v>-6775</v>
      </c>
      <c r="D79" s="4">
        <f>'[1]Raw Data (Source)'!L58</f>
        <v>7049</v>
      </c>
      <c r="E79" s="4">
        <f>'[1]Raw Data (Source)'!M58</f>
        <v>4972</v>
      </c>
      <c r="F79" s="4">
        <f>'[1]Raw Data (Source)'!N58</f>
        <v>7013</v>
      </c>
      <c r="G79" s="4">
        <f>'[1]Raw Data (Source)'!O58</f>
        <v>4354</v>
      </c>
      <c r="H79" s="4">
        <f>'[1]Raw Data (Source)'!P58</f>
        <v>8485</v>
      </c>
    </row>
    <row r="80" spans="1:13" ht="14.25" customHeight="1" x14ac:dyDescent="0.3">
      <c r="B80" s="1" t="s">
        <v>28</v>
      </c>
      <c r="C80" s="4">
        <f>'[1]Raw Data (Source)'!K59</f>
        <v>0</v>
      </c>
      <c r="D80" s="4">
        <f>'[1]Raw Data (Source)'!L59</f>
        <v>0</v>
      </c>
      <c r="E80" s="4">
        <f>'[1]Raw Data (Source)'!M59</f>
        <v>0</v>
      </c>
      <c r="F80" s="4">
        <f>'[1]Raw Data (Source)'!N59</f>
        <v>0</v>
      </c>
      <c r="G80" s="4">
        <f>'[1]Raw Data (Source)'!O59</f>
        <v>0</v>
      </c>
      <c r="H80" s="4">
        <f>'[1]Raw Data (Source)'!P59</f>
        <v>0</v>
      </c>
    </row>
    <row r="81" spans="2:8" ht="14.25" customHeight="1" x14ac:dyDescent="0.3">
      <c r="B81" s="1" t="s">
        <v>27</v>
      </c>
      <c r="C81" s="4">
        <f>'[1]Raw Data (Source)'!K60</f>
        <v>0</v>
      </c>
      <c r="D81" s="4">
        <f>'[1]Raw Data (Source)'!L60</f>
        <v>0</v>
      </c>
      <c r="E81" s="4">
        <f>'[1]Raw Data (Source)'!M60</f>
        <v>0</v>
      </c>
      <c r="F81" s="4">
        <f>'[1]Raw Data (Source)'!N60</f>
        <v>0</v>
      </c>
      <c r="G81" s="4">
        <f>'[1]Raw Data (Source)'!O60</f>
        <v>0</v>
      </c>
      <c r="H81" s="4">
        <f>'[1]Raw Data (Source)'!P60</f>
        <v>0</v>
      </c>
    </row>
    <row r="82" spans="2:8" ht="14.25" customHeight="1" x14ac:dyDescent="0.3">
      <c r="B82" s="1" t="s">
        <v>26</v>
      </c>
      <c r="C82" s="4">
        <f>'[1]Raw Data (Source)'!K61</f>
        <v>-6974</v>
      </c>
      <c r="D82" s="4">
        <f>'[1]Raw Data (Source)'!L61</f>
        <v>12171</v>
      </c>
      <c r="E82" s="4">
        <f>'[1]Raw Data (Source)'!M61</f>
        <v>293</v>
      </c>
      <c r="F82" s="4">
        <f>'[1]Raw Data (Source)'!N61</f>
        <v>-19941</v>
      </c>
      <c r="G82" s="4">
        <f>'[1]Raw Data (Source)'!O61</f>
        <v>-19175</v>
      </c>
      <c r="H82" s="4">
        <f>'[1]Raw Data (Source)'!P61</f>
        <v>-14113</v>
      </c>
    </row>
    <row r="83" spans="2:8" ht="14.25" customHeight="1" x14ac:dyDescent="0.3">
      <c r="B83" s="1" t="s">
        <v>25</v>
      </c>
      <c r="C83" s="4">
        <f>'[1]Raw Data (Source)'!K62</f>
        <v>-2257</v>
      </c>
      <c r="D83" s="4">
        <f>'[1]Raw Data (Source)'!L62</f>
        <v>-1850</v>
      </c>
      <c r="E83" s="4">
        <f>'[1]Raw Data (Source)'!M62</f>
        <v>-1560</v>
      </c>
      <c r="F83" s="4">
        <f>'[1]Raw Data (Source)'!N62</f>
        <v>-2775</v>
      </c>
      <c r="G83" s="4">
        <f>'[1]Raw Data (Source)'!O62</f>
        <v>-3996</v>
      </c>
      <c r="H83" s="4">
        <f>'[1]Raw Data (Source)'!P62</f>
        <v>-4761</v>
      </c>
    </row>
    <row r="84" spans="2:8" ht="14.25" customHeight="1" x14ac:dyDescent="0.3">
      <c r="B84" s="6" t="s">
        <v>24</v>
      </c>
      <c r="C84" s="5">
        <f>SUM(C76,C82:C83)</f>
        <v>-1457</v>
      </c>
      <c r="D84" s="5">
        <f>SUM(D76,D82:D83)</f>
        <v>17909</v>
      </c>
      <c r="E84" s="5">
        <f>SUM(E76,E82:E83)</f>
        <v>9248</v>
      </c>
      <c r="F84" s="5">
        <f>SUM(F76,F82:F83)</f>
        <v>-7074</v>
      </c>
      <c r="G84" s="5">
        <f>SUM(G76,G82:G83)</f>
        <v>-5630</v>
      </c>
      <c r="H84" s="5">
        <f>SUM(H76,H82:H83)</f>
        <v>3176</v>
      </c>
    </row>
    <row r="86" spans="2:8" ht="14.25" customHeight="1" x14ac:dyDescent="0.3">
      <c r="B86" s="7" t="s">
        <v>23</v>
      </c>
    </row>
    <row r="87" spans="2:8" ht="14.25" customHeight="1" x14ac:dyDescent="0.3">
      <c r="B87" s="1" t="s">
        <v>22</v>
      </c>
      <c r="C87" s="4">
        <f>'[1]Raw Data (Source)'!K64</f>
        <v>-6896</v>
      </c>
      <c r="D87" s="4">
        <f>'[1]Raw Data (Source)'!L64</f>
        <v>-5989</v>
      </c>
      <c r="E87" s="4">
        <f>'[1]Raw Data (Source)'!M64</f>
        <v>-6040</v>
      </c>
      <c r="F87" s="4">
        <f>'[1]Raw Data (Source)'!N64</f>
        <v>-6305</v>
      </c>
      <c r="G87" s="4">
        <f>'[1]Raw Data (Source)'!O64</f>
        <v>-9946</v>
      </c>
      <c r="H87" s="4">
        <f>'[1]Raw Data (Source)'!P64</f>
        <v>-10392</v>
      </c>
    </row>
    <row r="88" spans="2:8" ht="14.25" customHeight="1" x14ac:dyDescent="0.3">
      <c r="B88" s="1" t="s">
        <v>21</v>
      </c>
      <c r="C88" s="4">
        <f>'[1]Raw Data (Source)'!K65</f>
        <v>102</v>
      </c>
      <c r="D88" s="4">
        <f>'[1]Raw Data (Source)'!L65</f>
        <v>1364</v>
      </c>
      <c r="E88" s="4">
        <f>'[1]Raw Data (Source)'!M65</f>
        <v>120</v>
      </c>
      <c r="F88" s="4">
        <f>'[1]Raw Data (Source)'!N65</f>
        <v>138</v>
      </c>
      <c r="G88" s="4">
        <f>'[1]Raw Data (Source)'!O65</f>
        <v>273</v>
      </c>
      <c r="H88" s="4">
        <f>'[1]Raw Data (Source)'!P65</f>
        <v>583</v>
      </c>
    </row>
    <row r="89" spans="2:8" ht="14.25" customHeight="1" x14ac:dyDescent="0.3">
      <c r="B89" s="1" t="s">
        <v>20</v>
      </c>
      <c r="C89" s="4">
        <f>'[1]Raw Data (Source)'!K66</f>
        <v>-198568</v>
      </c>
      <c r="D89" s="4">
        <f>'[1]Raw Data (Source)'!L66</f>
        <v>-120055</v>
      </c>
      <c r="E89" s="4">
        <f>'[1]Raw Data (Source)'!M66</f>
        <v>-65421</v>
      </c>
      <c r="F89" s="4">
        <f>'[1]Raw Data (Source)'!N66</f>
        <v>-50165</v>
      </c>
      <c r="G89" s="4">
        <f>'[1]Raw Data (Source)'!O66</f>
        <v>-49927</v>
      </c>
      <c r="H89" s="4">
        <f>'[1]Raw Data (Source)'!P66</f>
        <v>-90595</v>
      </c>
    </row>
    <row r="90" spans="2:8" ht="14.25" customHeight="1" x14ac:dyDescent="0.3">
      <c r="B90" s="1" t="s">
        <v>19</v>
      </c>
      <c r="C90" s="4">
        <f>'[1]Raw Data (Source)'!K67</f>
        <v>198132</v>
      </c>
      <c r="D90" s="4">
        <f>'[1]Raw Data (Source)'!L67</f>
        <v>111749</v>
      </c>
      <c r="E90" s="4">
        <f>'[1]Raw Data (Source)'!M67</f>
        <v>65127</v>
      </c>
      <c r="F90" s="4">
        <f>'[1]Raw Data (Source)'!N67</f>
        <v>46269</v>
      </c>
      <c r="G90" s="4">
        <f>'[1]Raw Data (Source)'!O67</f>
        <v>50919</v>
      </c>
      <c r="H90" s="4">
        <f>'[1]Raw Data (Source)'!P67</f>
        <v>85257</v>
      </c>
    </row>
    <row r="91" spans="2:8" ht="14.25" customHeight="1" x14ac:dyDescent="0.3">
      <c r="B91" s="1" t="s">
        <v>18</v>
      </c>
      <c r="C91" s="4">
        <f>'[1]Raw Data (Source)'!K68</f>
        <v>372</v>
      </c>
      <c r="D91" s="4">
        <f>'[1]Raw Data (Source)'!L68</f>
        <v>431</v>
      </c>
      <c r="E91" s="4">
        <f>'[1]Raw Data (Source)'!M68</f>
        <v>420</v>
      </c>
      <c r="F91" s="4">
        <f>'[1]Raw Data (Source)'!N68</f>
        <v>464</v>
      </c>
      <c r="G91" s="4">
        <f>'[1]Raw Data (Source)'!O68</f>
        <v>703</v>
      </c>
      <c r="H91" s="4">
        <f>'[1]Raw Data (Source)'!P68</f>
        <v>884</v>
      </c>
    </row>
    <row r="92" spans="2:8" ht="14.25" customHeight="1" x14ac:dyDescent="0.3">
      <c r="B92" s="1" t="s">
        <v>17</v>
      </c>
      <c r="C92" s="4">
        <f>'[1]Raw Data (Source)'!K69</f>
        <v>722</v>
      </c>
      <c r="D92" s="4">
        <f>'[1]Raw Data (Source)'!L69</f>
        <v>577</v>
      </c>
      <c r="E92" s="4">
        <f>'[1]Raw Data (Source)'!M69</f>
        <v>1247</v>
      </c>
      <c r="F92" s="4">
        <f>'[1]Raw Data (Source)'!N69</f>
        <v>1397</v>
      </c>
      <c r="G92" s="4">
        <f>'[1]Raw Data (Source)'!O69</f>
        <v>1213</v>
      </c>
      <c r="H92" s="4">
        <f>'[1]Raw Data (Source)'!P69</f>
        <v>1374</v>
      </c>
    </row>
    <row r="93" spans="2:8" ht="14.25" customHeight="1" x14ac:dyDescent="0.3">
      <c r="B93" s="1" t="s">
        <v>16</v>
      </c>
      <c r="C93" s="4">
        <f>'[1]Raw Data (Source)'!K70</f>
        <v>-418</v>
      </c>
      <c r="D93" s="4">
        <f>'[1]Raw Data (Source)'!L70</f>
        <v>-359</v>
      </c>
      <c r="E93" s="4">
        <f>'[1]Raw Data (Source)'!M70</f>
        <v>-222</v>
      </c>
      <c r="F93" s="4">
        <f>'[1]Raw Data (Source)'!N70</f>
        <v>-62</v>
      </c>
      <c r="G93" s="4">
        <f>'[1]Raw Data (Source)'!O70</f>
        <v>-249</v>
      </c>
      <c r="H93" s="4">
        <f>'[1]Raw Data (Source)'!P70</f>
        <v>-29</v>
      </c>
    </row>
    <row r="94" spans="2:8" ht="14.25" customHeight="1" x14ac:dyDescent="0.3">
      <c r="B94" s="1" t="s">
        <v>15</v>
      </c>
      <c r="C94" s="4">
        <f>'[1]Raw Data (Source)'!K71</f>
        <v>0</v>
      </c>
      <c r="D94" s="4">
        <f>'[1]Raw Data (Source)'!L71</f>
        <v>0</v>
      </c>
      <c r="E94" s="4">
        <f>'[1]Raw Data (Source)'!M71</f>
        <v>0</v>
      </c>
      <c r="F94" s="4">
        <f>'[1]Raw Data (Source)'!N71</f>
        <v>0</v>
      </c>
      <c r="G94" s="4">
        <f>'[1]Raw Data (Source)'!O71</f>
        <v>0</v>
      </c>
      <c r="H94" s="4">
        <f>'[1]Raw Data (Source)'!P71</f>
        <v>0</v>
      </c>
    </row>
    <row r="95" spans="2:8" ht="14.25" customHeight="1" x14ac:dyDescent="0.3">
      <c r="B95" s="1" t="s">
        <v>14</v>
      </c>
      <c r="C95" s="4">
        <f>'[1]Raw Data (Source)'!K72</f>
        <v>175</v>
      </c>
      <c r="D95" s="4">
        <f>'[1]Raw Data (Source)'!L72</f>
        <v>316</v>
      </c>
      <c r="E95" s="4">
        <f>'[1]Raw Data (Source)'!M72</f>
        <v>617</v>
      </c>
      <c r="F95" s="4">
        <f>'[1]Raw Data (Source)'!N72</f>
        <v>1863</v>
      </c>
      <c r="G95" s="4">
        <f>'[1]Raw Data (Source)'!O72</f>
        <v>1043</v>
      </c>
      <c r="H95" s="4">
        <f>'[1]Raw Data (Source)'!P72</f>
        <v>620</v>
      </c>
    </row>
    <row r="96" spans="2:8" ht="14.25" customHeight="1" x14ac:dyDescent="0.3">
      <c r="B96" s="1" t="s">
        <v>13</v>
      </c>
      <c r="C96" s="4">
        <f>'[1]Raw Data (Source)'!K73</f>
        <v>-59</v>
      </c>
      <c r="D96" s="4">
        <f>'[1]Raw Data (Source)'!L73</f>
        <v>0</v>
      </c>
      <c r="E96" s="4">
        <f>'[1]Raw Data (Source)'!M73</f>
        <v>-42</v>
      </c>
      <c r="F96" s="4">
        <f>'[1]Raw Data (Source)'!N73</f>
        <v>-587</v>
      </c>
      <c r="G96" s="4">
        <f>'[1]Raw Data (Source)'!O73</f>
        <v>-53</v>
      </c>
      <c r="H96" s="4">
        <f>'[1]Raw Data (Source)'!P73</f>
        <v>0</v>
      </c>
    </row>
    <row r="97" spans="2:8" ht="14.25" customHeight="1" x14ac:dyDescent="0.3">
      <c r="B97" s="1" t="s">
        <v>12</v>
      </c>
      <c r="C97" s="4">
        <f>'[1]Raw Data (Source)'!K74</f>
        <v>6</v>
      </c>
      <c r="D97" s="4">
        <f>'[1]Raw Data (Source)'!L74</f>
        <v>-262</v>
      </c>
      <c r="E97" s="4">
        <f>'[1]Raw Data (Source)'!M74</f>
        <v>-552</v>
      </c>
      <c r="F97" s="4">
        <f>'[1]Raw Data (Source)'!N74</f>
        <v>-93</v>
      </c>
      <c r="G97" s="4">
        <f>'[1]Raw Data (Source)'!O74</f>
        <v>485</v>
      </c>
      <c r="H97" s="4">
        <f>'[1]Raw Data (Source)'!P74</f>
        <v>-244</v>
      </c>
    </row>
    <row r="98" spans="2:8" ht="14.25" customHeight="1" x14ac:dyDescent="0.3">
      <c r="B98" s="1" t="s">
        <v>11</v>
      </c>
      <c r="C98" s="4">
        <f>'[1]Raw Data (Source)'!K75</f>
        <v>-437</v>
      </c>
      <c r="D98" s="4">
        <f>'[1]Raw Data (Source)'!L75</f>
        <v>-7457</v>
      </c>
      <c r="E98" s="4">
        <f>'[1]Raw Data (Source)'!M75</f>
        <v>1494</v>
      </c>
      <c r="F98" s="4">
        <f>'[1]Raw Data (Source)'!N75</f>
        <v>-1786</v>
      </c>
      <c r="G98" s="4">
        <f>'[1]Raw Data (Source)'!O75</f>
        <v>-78</v>
      </c>
      <c r="H98" s="4">
        <f>'[1]Raw Data (Source)'!P75</f>
        <v>-6075</v>
      </c>
    </row>
    <row r="99" spans="2:8" ht="14.25" customHeight="1" x14ac:dyDescent="0.3">
      <c r="B99" s="6" t="s">
        <v>10</v>
      </c>
      <c r="C99" s="5">
        <f>SUM(C87:C98)</f>
        <v>-6869</v>
      </c>
      <c r="D99" s="5">
        <f>SUM(D87:D98)</f>
        <v>-19685</v>
      </c>
      <c r="E99" s="5">
        <f>SUM(E87:E98)</f>
        <v>-3252</v>
      </c>
      <c r="F99" s="5">
        <f>SUM(F87:F98)</f>
        <v>-8867</v>
      </c>
      <c r="G99" s="5">
        <f>SUM(G87:G98)</f>
        <v>-5617</v>
      </c>
      <c r="H99" s="5">
        <f>SUM(H87:H98)</f>
        <v>-18617</v>
      </c>
    </row>
    <row r="100" spans="2:8" ht="14.25" customHeight="1" x14ac:dyDescent="0.3">
      <c r="C100" s="4"/>
      <c r="D100" s="4"/>
      <c r="E100" s="4"/>
      <c r="F100" s="4"/>
      <c r="G100" s="4"/>
      <c r="H100" s="4"/>
    </row>
    <row r="101" spans="2:8" ht="14.25" customHeight="1" x14ac:dyDescent="0.3">
      <c r="B101" s="7" t="s">
        <v>9</v>
      </c>
      <c r="C101" s="4"/>
      <c r="D101" s="4"/>
      <c r="E101" s="4"/>
      <c r="F101" s="4"/>
      <c r="G101" s="4"/>
      <c r="H101" s="4"/>
    </row>
    <row r="102" spans="2:8" ht="14.25" customHeight="1" x14ac:dyDescent="0.3">
      <c r="B102" s="1" t="s">
        <v>8</v>
      </c>
      <c r="C102" s="4">
        <f>'[1]Raw Data (Source)'!K77</f>
        <v>1243</v>
      </c>
      <c r="D102" s="4">
        <f>'[1]Raw Data (Source)'!L77</f>
        <v>1</v>
      </c>
      <c r="E102" s="4">
        <f>'[1]Raw Data (Source)'!M77</f>
        <v>1</v>
      </c>
      <c r="F102" s="4">
        <f>'[1]Raw Data (Source)'!N77</f>
        <v>1</v>
      </c>
      <c r="G102" s="4">
        <f>'[1]Raw Data (Source)'!O77</f>
        <v>1</v>
      </c>
      <c r="H102" s="4">
        <f>'[1]Raw Data (Source)'!P77</f>
        <v>1</v>
      </c>
    </row>
    <row r="103" spans="2:8" ht="14.25" customHeight="1" x14ac:dyDescent="0.3">
      <c r="B103" s="1" t="s">
        <v>7</v>
      </c>
      <c r="C103" s="4">
        <f>'[1]Raw Data (Source)'!K78</f>
        <v>52618</v>
      </c>
      <c r="D103" s="4">
        <f>'[1]Raw Data (Source)'!L78</f>
        <v>38100</v>
      </c>
      <c r="E103" s="4">
        <f>'[1]Raw Data (Source)'!M78</f>
        <v>53880</v>
      </c>
      <c r="F103" s="4">
        <f>'[1]Raw Data (Source)'!N78</f>
        <v>55622</v>
      </c>
      <c r="G103" s="4">
        <f>'[1]Raw Data (Source)'!O78</f>
        <v>61308</v>
      </c>
      <c r="H103" s="4">
        <f>'[1]Raw Data (Source)'!P78</f>
        <v>82590</v>
      </c>
    </row>
    <row r="104" spans="2:8" ht="14.25" customHeight="1" x14ac:dyDescent="0.3">
      <c r="B104" s="1" t="s">
        <v>6</v>
      </c>
      <c r="C104" s="4">
        <f>'[1]Raw Data (Source)'!K79</f>
        <v>-44044</v>
      </c>
      <c r="D104" s="4">
        <f>'[1]Raw Data (Source)'!L79</f>
        <v>-37505</v>
      </c>
      <c r="E104" s="4">
        <f>'[1]Raw Data (Source)'!M79</f>
        <v>-57223</v>
      </c>
      <c r="F104" s="4">
        <f>'[1]Raw Data (Source)'!N79</f>
        <v>-37056</v>
      </c>
      <c r="G104" s="4">
        <f>'[1]Raw Data (Source)'!O79</f>
        <v>-46805</v>
      </c>
      <c r="H104" s="4">
        <f>'[1]Raw Data (Source)'!P79</f>
        <v>-64689</v>
      </c>
    </row>
    <row r="105" spans="2:8" ht="14.25" customHeight="1" x14ac:dyDescent="0.3">
      <c r="B105" s="1" t="s">
        <v>5</v>
      </c>
      <c r="C105" s="4">
        <f>'[1]Raw Data (Source)'!K80</f>
        <v>-624</v>
      </c>
      <c r="D105" s="4">
        <f>'[1]Raw Data (Source)'!L80</f>
        <v>-809</v>
      </c>
      <c r="E105" s="4">
        <f>'[1]Raw Data (Source)'!M80</f>
        <v>-680</v>
      </c>
      <c r="F105" s="4">
        <f>'[1]Raw Data (Source)'!N80</f>
        <v>-734</v>
      </c>
      <c r="G105" s="4">
        <f>'[1]Raw Data (Source)'!O80</f>
        <v>-597</v>
      </c>
      <c r="H105" s="4">
        <f>'[1]Raw Data (Source)'!P80</f>
        <v>-436</v>
      </c>
    </row>
    <row r="106" spans="2:8" ht="14.25" customHeight="1" x14ac:dyDescent="0.3">
      <c r="B106" s="1" t="s">
        <v>4</v>
      </c>
      <c r="C106" s="4">
        <f>'[1]Raw Data (Source)'!K81</f>
        <v>-1398</v>
      </c>
      <c r="D106" s="4">
        <f>'[1]Raw Data (Source)'!L81</f>
        <v>-271</v>
      </c>
      <c r="E106" s="4">
        <f>'[1]Raw Data (Source)'!M81</f>
        <v>-1037</v>
      </c>
      <c r="F106" s="4">
        <f>'[1]Raw Data (Source)'!N81</f>
        <v>-1522</v>
      </c>
      <c r="G106" s="4">
        <f>'[1]Raw Data (Source)'!O81</f>
        <v>-2247</v>
      </c>
      <c r="H106" s="4">
        <f>'[1]Raw Data (Source)'!P81</f>
        <v>-2806</v>
      </c>
    </row>
    <row r="107" spans="2:8" ht="14.25" customHeight="1" x14ac:dyDescent="0.3">
      <c r="B107" s="1" t="s">
        <v>3</v>
      </c>
      <c r="C107" s="4">
        <f>'[1]Raw Data (Source)'!K82</f>
        <v>-558</v>
      </c>
      <c r="D107" s="4">
        <f>'[1]Raw Data (Source)'!L82</f>
        <v>-553</v>
      </c>
      <c r="E107" s="4">
        <f>'[1]Raw Data (Source)'!M82</f>
        <v>-583</v>
      </c>
      <c r="F107" s="4">
        <f>'[1]Raw Data (Source)'!N82</f>
        <v>-751</v>
      </c>
      <c r="G107" s="4">
        <f>'[1]Raw Data (Source)'!O82</f>
        <v>-786</v>
      </c>
      <c r="H107" s="4">
        <f>'[1]Raw Data (Source)'!P82</f>
        <v>-887</v>
      </c>
    </row>
    <row r="108" spans="2:8" ht="14.25" customHeight="1" x14ac:dyDescent="0.3">
      <c r="B108" s="1" t="s">
        <v>2</v>
      </c>
      <c r="C108" s="4">
        <f>'[1]Raw Data (Source)'!K83</f>
        <v>-304</v>
      </c>
      <c r="D108" s="4">
        <f>'[1]Raw Data (Source)'!L83</f>
        <v>1444</v>
      </c>
      <c r="E108" s="4">
        <f>'[1]Raw Data (Source)'!M83</f>
        <v>-240</v>
      </c>
      <c r="F108" s="4">
        <f>'[1]Raw Data (Source)'!N83</f>
        <v>386</v>
      </c>
      <c r="G108" s="4">
        <f>'[1]Raw Data (Source)'!O83</f>
        <v>1408</v>
      </c>
      <c r="H108" s="4">
        <f>'[1]Raw Data (Source)'!P83</f>
        <v>2062</v>
      </c>
    </row>
    <row r="109" spans="2:8" ht="14.25" customHeight="1" x14ac:dyDescent="0.3">
      <c r="B109" s="6" t="s">
        <v>1</v>
      </c>
      <c r="C109" s="5">
        <f>SUM(C102:C108)</f>
        <v>6933</v>
      </c>
      <c r="D109" s="5">
        <f>SUM(D102:D108)</f>
        <v>407</v>
      </c>
      <c r="E109" s="5">
        <f>SUM(E102:E108)</f>
        <v>-5882</v>
      </c>
      <c r="F109" s="5">
        <f>SUM(F102:F108)</f>
        <v>15946</v>
      </c>
      <c r="G109" s="5">
        <f>SUM(G102:G108)</f>
        <v>12282</v>
      </c>
      <c r="H109" s="5">
        <f>SUM(H102:H108)</f>
        <v>15835</v>
      </c>
    </row>
    <row r="110" spans="2:8" ht="14.25" customHeight="1" x14ac:dyDescent="0.3">
      <c r="C110" s="4"/>
      <c r="D110" s="4"/>
      <c r="E110" s="4"/>
      <c r="F110" s="4"/>
      <c r="G110" s="4"/>
      <c r="H110" s="4"/>
    </row>
    <row r="111" spans="2:8" ht="14.25" customHeight="1" x14ac:dyDescent="0.3">
      <c r="B111" s="3" t="s">
        <v>0</v>
      </c>
      <c r="C111" s="2">
        <f>SUM(C84,C99,C109)</f>
        <v>-1393</v>
      </c>
      <c r="D111" s="2">
        <f>SUM(D84,D99,D109)</f>
        <v>-1369</v>
      </c>
      <c r="E111" s="2">
        <f>SUM(E84,E99,E109)</f>
        <v>114</v>
      </c>
      <c r="F111" s="2">
        <f>SUM(F84,F99,F109)</f>
        <v>5</v>
      </c>
      <c r="G111" s="2">
        <f>SUM(G84,G99,G109)</f>
        <v>1035</v>
      </c>
      <c r="H111" s="2">
        <f>SUM(H84,H99,H109)</f>
        <v>394</v>
      </c>
    </row>
  </sheetData>
  <mergeCells count="2">
    <mergeCell ref="A1:H3"/>
    <mergeCell ref="B6:H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314C-5970-4E6F-8A89-6CB28D2456F3}">
  <dimension ref="B2:I43"/>
  <sheetViews>
    <sheetView showGridLines="0" topLeftCell="A13" zoomScaleNormal="100" workbookViewId="0">
      <selection activeCell="B2" sqref="B2:E2"/>
    </sheetView>
  </sheetViews>
  <sheetFormatPr defaultColWidth="8.6640625" defaultRowHeight="14.4" x14ac:dyDescent="0.3"/>
  <cols>
    <col min="1" max="1" width="1.88671875" style="1" customWidth="1"/>
    <col min="2" max="2" width="22" style="1" customWidth="1"/>
    <col min="3" max="3" width="10.44140625" style="1" customWidth="1"/>
    <col min="4" max="8" width="10.33203125" style="1" customWidth="1"/>
    <col min="9" max="16384" width="8.6640625" style="1"/>
  </cols>
  <sheetData>
    <row r="2" spans="2:9" ht="14.25" customHeight="1" x14ac:dyDescent="0.3">
      <c r="B2" s="28"/>
    </row>
    <row r="3" spans="2:9" ht="14.25" customHeight="1" x14ac:dyDescent="0.3">
      <c r="B3" s="27" t="s">
        <v>85</v>
      </c>
      <c r="C3" s="27"/>
      <c r="D3" s="27"/>
      <c r="E3" s="27"/>
      <c r="F3" s="27"/>
      <c r="G3" s="27"/>
      <c r="H3" s="27"/>
    </row>
    <row r="5" spans="2:9" ht="14.25" customHeight="1" x14ac:dyDescent="0.3">
      <c r="B5" s="36" t="s">
        <v>84</v>
      </c>
      <c r="C5" s="34">
        <f>'[1]Data Sheet'!F16</f>
        <v>43921</v>
      </c>
      <c r="D5" s="34">
        <f>'[1]Data Sheet'!G16</f>
        <v>44286</v>
      </c>
      <c r="E5" s="34">
        <f>'[1]Data Sheet'!H16</f>
        <v>44651</v>
      </c>
      <c r="F5" s="34">
        <f>'[1]Data Sheet'!I16</f>
        <v>45016</v>
      </c>
      <c r="G5" s="34">
        <f>'[1]Data Sheet'!J16</f>
        <v>45382</v>
      </c>
      <c r="H5" s="34">
        <f>'[1]Data Sheet'!K16</f>
        <v>45747</v>
      </c>
      <c r="I5" s="35"/>
    </row>
    <row r="7" spans="2:9" ht="14.25" customHeight="1" x14ac:dyDescent="0.3">
      <c r="B7" s="30" t="str">
        <f>'[1]Data Sheet'!A17</f>
        <v>Sales</v>
      </c>
      <c r="C7" s="31">
        <f>'[1]Data Sheet'!F17/'[1]Data Sheet'!F$17</f>
        <v>1</v>
      </c>
      <c r="D7" s="31">
        <f>'[1]Data Sheet'!G17/'[1]Data Sheet'!G$17</f>
        <v>1</v>
      </c>
      <c r="E7" s="31">
        <f>'[1]Data Sheet'!H17/'[1]Data Sheet'!H$17</f>
        <v>1</v>
      </c>
      <c r="F7" s="31">
        <f>'[1]Data Sheet'!I17/'[1]Data Sheet'!I$17</f>
        <v>1</v>
      </c>
      <c r="G7" s="31">
        <f>'[1]Data Sheet'!J17/'[1]Data Sheet'!J$17</f>
        <v>1</v>
      </c>
      <c r="H7" s="31">
        <f>'[1]Data Sheet'!K17/'[1]Data Sheet'!K$17</f>
        <v>1</v>
      </c>
    </row>
    <row r="8" spans="2:9" ht="14.25" customHeight="1" x14ac:dyDescent="0.3">
      <c r="B8" s="30" t="str">
        <f>'[1]Data Sheet'!A18</f>
        <v>Raw Material Cost</v>
      </c>
      <c r="C8" s="22">
        <f>'[1]Data Sheet'!F18/'[1]Data Sheet'!F$17</f>
        <v>0.4987309292823891</v>
      </c>
      <c r="D8" s="22">
        <f>'[1]Data Sheet'!G18/'[1]Data Sheet'!G$17</f>
        <v>0.51524426281991731</v>
      </c>
      <c r="E8" s="22">
        <f>'[1]Data Sheet'!H18/'[1]Data Sheet'!H$17</f>
        <v>0.5840580801474361</v>
      </c>
      <c r="F8" s="22">
        <f>'[1]Data Sheet'!I18/'[1]Data Sheet'!I$17</f>
        <v>0.62687209503205898</v>
      </c>
      <c r="G8" s="22">
        <f>'[1]Data Sheet'!J18/'[1]Data Sheet'!J$17</f>
        <v>0.61167046440827899</v>
      </c>
      <c r="H8" s="22">
        <f>'[1]Data Sheet'!K18/'[1]Data Sheet'!K$17</f>
        <v>0.60143462611397891</v>
      </c>
    </row>
    <row r="9" spans="2:9" ht="14.25" customHeight="1" x14ac:dyDescent="0.3">
      <c r="B9" s="30" t="str">
        <f>'[1]Data Sheet'!A19</f>
        <v>Change in Inventory</v>
      </c>
      <c r="C9" s="22">
        <f>'[1]Data Sheet'!F19/'[1]Data Sheet'!F$17</f>
        <v>-1.0965757974092731E-2</v>
      </c>
      <c r="D9" s="22">
        <f>'[1]Data Sheet'!G19/'[1]Data Sheet'!G$17</f>
        <v>-1.8254449715648475E-3</v>
      </c>
      <c r="E9" s="22">
        <f>'[1]Data Sheet'!H19/'[1]Data Sheet'!H$17</f>
        <v>9.5558894659310677E-3</v>
      </c>
      <c r="F9" s="22">
        <f>'[1]Data Sheet'!I19/'[1]Data Sheet'!I$17</f>
        <v>1.6758755670781913E-2</v>
      </c>
      <c r="G9" s="22">
        <f>'[1]Data Sheet'!J19/'[1]Data Sheet'!J$17</f>
        <v>1.0464035826732674E-2</v>
      </c>
      <c r="H9" s="22">
        <f>'[1]Data Sheet'!K19/'[1]Data Sheet'!K$17</f>
        <v>7.6502338220480235E-5</v>
      </c>
    </row>
    <row r="10" spans="2:9" ht="14.25" customHeight="1" x14ac:dyDescent="0.3">
      <c r="B10" s="30" t="str">
        <f>'[1]Data Sheet'!A20</f>
        <v>Power and Fuel</v>
      </c>
      <c r="C10" s="22">
        <f>'[1]Data Sheet'!F20/'[1]Data Sheet'!F$17</f>
        <v>7.0430672178332394E-3</v>
      </c>
      <c r="D10" s="22">
        <f>'[1]Data Sheet'!G20/'[1]Data Sheet'!G$17</f>
        <v>5.7831561471007884E-3</v>
      </c>
      <c r="E10" s="22">
        <f>'[1]Data Sheet'!H20/'[1]Data Sheet'!H$17</f>
        <v>6.0027345951123518E-3</v>
      </c>
      <c r="F10" s="22">
        <f>'[1]Data Sheet'!I20/'[1]Data Sheet'!I$17</f>
        <v>6.8482718726330938E-3</v>
      </c>
      <c r="G10" s="22">
        <f>'[1]Data Sheet'!J20/'[1]Data Sheet'!J$17</f>
        <v>5.4122761233656421E-3</v>
      </c>
      <c r="H10" s="22">
        <f>'[1]Data Sheet'!K20/'[1]Data Sheet'!K$17</f>
        <v>5.2279738274069567E-3</v>
      </c>
    </row>
    <row r="11" spans="2:9" ht="14.25" customHeight="1" x14ac:dyDescent="0.3">
      <c r="B11" s="30" t="str">
        <f>'[1]Data Sheet'!A21</f>
        <v>Other Mfr. Exp</v>
      </c>
      <c r="C11" s="22">
        <f>'[1]Data Sheet'!F21/'[1]Data Sheet'!F$17</f>
        <v>4.348243670598511E-2</v>
      </c>
      <c r="D11" s="22">
        <f>'[1]Data Sheet'!G21/'[1]Data Sheet'!G$17</f>
        <v>3.3972474675468226E-2</v>
      </c>
      <c r="E11" s="22">
        <f>'[1]Data Sheet'!H21/'[1]Data Sheet'!H$17</f>
        <v>3.4648444608922843E-2</v>
      </c>
      <c r="F11" s="22">
        <f>'[1]Data Sheet'!I21/'[1]Data Sheet'!I$17</f>
        <v>3.1652229700115983E-2</v>
      </c>
      <c r="G11" s="22">
        <f>'[1]Data Sheet'!J21/'[1]Data Sheet'!J$17</f>
        <v>2.7263425120257825E-2</v>
      </c>
      <c r="H11" s="22">
        <f>'[1]Data Sheet'!K21/'[1]Data Sheet'!K$17</f>
        <v>2.6143198056513994E-2</v>
      </c>
    </row>
    <row r="12" spans="2:9" ht="14.25" customHeight="1" x14ac:dyDescent="0.3">
      <c r="B12" s="30" t="str">
        <f>'[1]Data Sheet'!A22</f>
        <v>Employee Cost</v>
      </c>
      <c r="C12" s="22">
        <f>'[1]Data Sheet'!F22/'[1]Data Sheet'!F$17</f>
        <v>0.10897598403224752</v>
      </c>
      <c r="D12" s="22">
        <f>'[1]Data Sheet'!G22/'[1]Data Sheet'!G$17</f>
        <v>0.10518973507285759</v>
      </c>
      <c r="E12" s="22">
        <f>'[1]Data Sheet'!H22/'[1]Data Sheet'!H$17</f>
        <v>9.3009725900590395E-2</v>
      </c>
      <c r="F12" s="22">
        <f>'[1]Data Sheet'!I22/'[1]Data Sheet'!I$17</f>
        <v>7.9805934844607282E-2</v>
      </c>
      <c r="G12" s="22">
        <f>'[1]Data Sheet'!J22/'[1]Data Sheet'!J$17</f>
        <v>7.639101349189921E-2</v>
      </c>
      <c r="H12" s="22">
        <f>'[1]Data Sheet'!K22/'[1]Data Sheet'!K$17</f>
        <v>6.9883252909569843E-2</v>
      </c>
    </row>
    <row r="13" spans="2:9" ht="14.25" customHeight="1" x14ac:dyDescent="0.3">
      <c r="B13" s="30" t="str">
        <f>'[1]Data Sheet'!A23</f>
        <v>Selling and admin</v>
      </c>
      <c r="C13" s="22">
        <f>'[1]Data Sheet'!F23/'[1]Data Sheet'!F$17</f>
        <v>8.3793556360257704E-2</v>
      </c>
      <c r="D13" s="22">
        <f>'[1]Data Sheet'!G23/'[1]Data Sheet'!G$17</f>
        <v>6.2316752062326043E-2</v>
      </c>
      <c r="E13" s="22">
        <f>'[1]Data Sheet'!H23/'[1]Data Sheet'!H$17</f>
        <v>6.6292915748453182E-2</v>
      </c>
      <c r="F13" s="22">
        <f>'[1]Data Sheet'!I23/'[1]Data Sheet'!I$17</f>
        <v>6.3345937590578924E-2</v>
      </c>
      <c r="G13" s="22">
        <f>'[1]Data Sheet'!J23/'[1]Data Sheet'!J$17</f>
        <v>7.0695443651981008E-2</v>
      </c>
      <c r="H13" s="22">
        <f>'[1]Data Sheet'!K23/'[1]Data Sheet'!K$17</f>
        <v>6.790618878792283E-2</v>
      </c>
    </row>
    <row r="14" spans="2:9" ht="14.25" customHeight="1" x14ac:dyDescent="0.3">
      <c r="B14" s="30" t="str">
        <f>'[1]Data Sheet'!A24</f>
        <v>Other Expenses</v>
      </c>
      <c r="C14" s="22">
        <f>'[1]Data Sheet'!F24/'[1]Data Sheet'!F$17</f>
        <v>0.11225780502038088</v>
      </c>
      <c r="D14" s="22">
        <f>'[1]Data Sheet'!G24/'[1]Data Sheet'!G$17</f>
        <v>0.12101869495830382</v>
      </c>
      <c r="E14" s="22">
        <f>'[1]Data Sheet'!H24/'[1]Data Sheet'!H$17</f>
        <v>6.2709817626748945E-2</v>
      </c>
      <c r="F14" s="22">
        <f>'[1]Data Sheet'!I24/'[1]Data Sheet'!I$17</f>
        <v>4.095851727426443E-2</v>
      </c>
      <c r="G14" s="22">
        <f>'[1]Data Sheet'!J24/'[1]Data Sheet'!J$17</f>
        <v>4.0053561206937649E-2</v>
      </c>
      <c r="H14" s="22">
        <f>'[1]Data Sheet'!K24/'[1]Data Sheet'!K$17</f>
        <v>3.7797117055235314E-2</v>
      </c>
    </row>
    <row r="15" spans="2:9" ht="14.25" customHeight="1" x14ac:dyDescent="0.3">
      <c r="B15" s="30" t="str">
        <f>'[1]Data Sheet'!A25</f>
        <v>Other Income</v>
      </c>
      <c r="C15" s="22">
        <f>'[1]Data Sheet'!F25/'[1]Data Sheet'!F$17</f>
        <v>1.173610174215492E-2</v>
      </c>
      <c r="D15" s="22">
        <f>'[1]Data Sheet'!G25/'[1]Data Sheet'!G$17</f>
        <v>1.5502751967008168E-2</v>
      </c>
      <c r="E15" s="22">
        <f>'[1]Data Sheet'!H25/'[1]Data Sheet'!H$17</f>
        <v>3.5537870061151874E-2</v>
      </c>
      <c r="F15" s="22">
        <f>'[1]Data Sheet'!I25/'[1]Data Sheet'!I$17</f>
        <v>3.2666754900590463E-2</v>
      </c>
      <c r="G15" s="22">
        <f>'[1]Data Sheet'!J25/'[1]Data Sheet'!J$17</f>
        <v>2.3712187389158638E-2</v>
      </c>
      <c r="H15" s="22">
        <f>'[1]Data Sheet'!K25/'[1]Data Sheet'!K$17</f>
        <v>2.3355636256380059E-2</v>
      </c>
    </row>
    <row r="16" spans="2:9" ht="14.25" customHeight="1" x14ac:dyDescent="0.3">
      <c r="B16" s="30" t="str">
        <f>'[1]Data Sheet'!A26</f>
        <v>Depreciation</v>
      </c>
      <c r="C16" s="22">
        <f>'[1]Data Sheet'!F26/'[1]Data Sheet'!F$17</f>
        <v>4.4661631773025713E-2</v>
      </c>
      <c r="D16" s="22">
        <f>'[1]Data Sheet'!G26/'[1]Data Sheet'!G$17</f>
        <v>4.5479415243697377E-2</v>
      </c>
      <c r="E16" s="22">
        <f>'[1]Data Sheet'!H26/'[1]Data Sheet'!H$17</f>
        <v>3.8898500918869643E-2</v>
      </c>
      <c r="F16" s="22">
        <f>'[1]Data Sheet'!I26/'[1]Data Sheet'!I$17</f>
        <v>3.5926957154183835E-2</v>
      </c>
      <c r="G16" s="22">
        <f>'[1]Data Sheet'!J26/'[1]Data Sheet'!J$17</f>
        <v>3.3964903359813149E-2</v>
      </c>
      <c r="H16" s="22">
        <f>'[1]Data Sheet'!K26/'[1]Data Sheet'!K$17</f>
        <v>3.8148475084796366E-2</v>
      </c>
    </row>
    <row r="17" spans="2:8" ht="14.25" customHeight="1" x14ac:dyDescent="0.3">
      <c r="B17" s="30" t="str">
        <f>'[1]Data Sheet'!A27</f>
        <v>Interest</v>
      </c>
      <c r="C17" s="22">
        <f>'[1]Data Sheet'!F27/'[1]Data Sheet'!F$17</f>
        <v>7.9875243310963254E-2</v>
      </c>
      <c r="D17" s="22">
        <f>'[1]Data Sheet'!G27/'[1]Data Sheet'!G$17</f>
        <v>8.2154043914613506E-2</v>
      </c>
      <c r="E17" s="22">
        <f>'[1]Data Sheet'!H27/'[1]Data Sheet'!H$17</f>
        <v>5.5650640780023901E-2</v>
      </c>
      <c r="F17" s="22">
        <f>'[1]Data Sheet'!I27/'[1]Data Sheet'!I$17</f>
        <v>4.8072645380851008E-2</v>
      </c>
      <c r="G17" s="22">
        <f>'[1]Data Sheet'!J27/'[1]Data Sheet'!J$17</f>
        <v>5.3841696477817856E-2</v>
      </c>
      <c r="H17" s="22">
        <f>'[1]Data Sheet'!K27/'[1]Data Sheet'!K$17</f>
        <v>5.7052592279846298E-2</v>
      </c>
    </row>
    <row r="18" spans="2:8" ht="14.25" customHeight="1" x14ac:dyDescent="0.3">
      <c r="B18" s="30" t="str">
        <f>'[1]Data Sheet'!A28</f>
        <v>Profit before tax</v>
      </c>
      <c r="C18" s="22">
        <f>'[1]Data Sheet'!F28/'[1]Data Sheet'!F$17</f>
        <v>2.1949690064979765E-2</v>
      </c>
      <c r="D18" s="22">
        <f>'[1]Data Sheet'!G28/'[1]Data Sheet'!G$17</f>
        <v>4.2518772101158647E-2</v>
      </c>
      <c r="E18" s="22">
        <f>'[1]Data Sheet'!H28/'[1]Data Sheet'!H$17</f>
        <v>0.10382289920092554</v>
      </c>
      <c r="F18" s="22">
        <f>'[1]Data Sheet'!I28/'[1]Data Sheet'!I$17</f>
        <v>0.1159429217220788</v>
      </c>
      <c r="G18" s="22">
        <f>'[1]Data Sheet'!J28/'[1]Data Sheet'!J$17</f>
        <v>0.11488343937554013</v>
      </c>
      <c r="H18" s="22">
        <f>'[1]Data Sheet'!K28/'[1]Data Sheet'!K$17</f>
        <v>0.11983871447932998</v>
      </c>
    </row>
    <row r="19" spans="2:8" ht="14.25" customHeight="1" x14ac:dyDescent="0.3">
      <c r="B19" s="30" t="str">
        <f>'[1]Data Sheet'!A29</f>
        <v>Tax</v>
      </c>
      <c r="C19" s="22">
        <f>'[1]Data Sheet'!F29/'[1]Data Sheet'!F$17</f>
        <v>2.6208005021893178E-2</v>
      </c>
      <c r="D19" s="22">
        <f>'[1]Data Sheet'!G29/'[1]Data Sheet'!G$17</f>
        <v>2.2157501206955834E-2</v>
      </c>
      <c r="E19" s="22">
        <f>'[1]Data Sheet'!H29/'[1]Data Sheet'!H$17</f>
        <v>2.3386344347163381E-2</v>
      </c>
      <c r="F19" s="22">
        <f>'[1]Data Sheet'!I29/'[1]Data Sheet'!I$17</f>
        <v>2.2147127181779611E-2</v>
      </c>
      <c r="G19" s="22">
        <f>'[1]Data Sheet'!J29/'[1]Data Sheet'!J$17</f>
        <v>2.6661030511811804E-2</v>
      </c>
      <c r="H19" s="22">
        <f>'[1]Data Sheet'!K29/'[1]Data Sheet'!K$17</f>
        <v>3.1445413069287623E-2</v>
      </c>
    </row>
    <row r="20" spans="2:8" ht="14.25" customHeight="1" x14ac:dyDescent="0.3">
      <c r="B20" s="30" t="str">
        <f>'[1]Data Sheet'!A30</f>
        <v>Net profit</v>
      </c>
      <c r="C20" s="22">
        <f>'[1]Data Sheet'!F30/'[1]Data Sheet'!F$17</f>
        <v>1.6852845237578823E-3</v>
      </c>
      <c r="D20" s="22">
        <f>'[1]Data Sheet'!G30/'[1]Data Sheet'!G$17</f>
        <v>2.4401510115138067E-2</v>
      </c>
      <c r="E20" s="22">
        <f>'[1]Data Sheet'!H30/'[1]Data Sheet'!H$17</f>
        <v>7.2943089968267913E-2</v>
      </c>
      <c r="F20" s="22">
        <f>'[1]Data Sheet'!I30/'[1]Data Sheet'!I$17</f>
        <v>8.4782905378187501E-2</v>
      </c>
      <c r="G20" s="22">
        <f>'[1]Data Sheet'!J30/'[1]Data Sheet'!J$17</f>
        <v>8.1023728581035709E-2</v>
      </c>
      <c r="H20" s="22">
        <f>'[1]Data Sheet'!K30/'[1]Data Sheet'!K$17</f>
        <v>8.1207420450444254E-2</v>
      </c>
    </row>
    <row r="21" spans="2:8" ht="14.25" customHeight="1" x14ac:dyDescent="0.3">
      <c r="B21" s="30" t="str">
        <f>'[1]Data Sheet'!A31</f>
        <v>Dividend Amount</v>
      </c>
      <c r="C21" s="22">
        <f>'[1]Data Sheet'!F31/'[1]Data Sheet'!F$17</f>
        <v>3.4558680044408522E-3</v>
      </c>
      <c r="D21" s="22">
        <f>'[1]Data Sheet'!G31/'[1]Data Sheet'!G$17</f>
        <v>1.3079416213031677E-2</v>
      </c>
      <c r="E21" s="22">
        <f>'[1]Data Sheet'!H31/'[1]Data Sheet'!H$17</f>
        <v>1.4245224356461314E-2</v>
      </c>
      <c r="F21" s="22">
        <f>'[1]Data Sheet'!I31/'[1]Data Sheet'!I$17</f>
        <v>1.4922747901248923E-2</v>
      </c>
      <c r="G21" s="22">
        <f>'[1]Data Sheet'!J31/'[1]Data Sheet'!J$17</f>
        <v>1.6912347270353595E-2</v>
      </c>
      <c r="H21" s="22">
        <f>'[1]Data Sheet'!K31/'[1]Data Sheet'!K$17</f>
        <v>1.7738995377324228E-2</v>
      </c>
    </row>
    <row r="22" spans="2:8" ht="14.25" customHeight="1" x14ac:dyDescent="0.3">
      <c r="B22" s="30" t="str">
        <f>'[1]Data Sheet'!A34</f>
        <v>EBITDA</v>
      </c>
      <c r="C22" s="22">
        <f>'[1]Data Sheet'!F34/'[1]Data Sheet'!F$17</f>
        <v>0.15243016462964004</v>
      </c>
      <c r="D22" s="22">
        <f>'[1]Data Sheet'!G34/'[1]Data Sheet'!G$17</f>
        <v>0.17419247048040479</v>
      </c>
      <c r="E22" s="22">
        <f>'[1]Data Sheet'!H34/'[1]Data Sheet'!H$17</f>
        <v>0.19087857601432484</v>
      </c>
      <c r="F22" s="22">
        <f>'[1]Data Sheet'!I34/'[1]Data Sheet'!I$17</f>
        <v>0.19092963509500196</v>
      </c>
      <c r="G22" s="22">
        <f>'[1]Data Sheet'!J34/'[1]Data Sheet'!J$17</f>
        <v>0.1954913589304785</v>
      </c>
      <c r="H22" s="22">
        <f>'[1]Data Sheet'!K34/'[1]Data Sheet'!K$17</f>
        <v>0.20785390088437453</v>
      </c>
    </row>
    <row r="24" spans="2:8" ht="14.25" customHeight="1" x14ac:dyDescent="0.3">
      <c r="B24" s="27" t="s">
        <v>83</v>
      </c>
      <c r="C24" s="27"/>
      <c r="D24" s="27"/>
      <c r="E24" s="27"/>
      <c r="F24" s="27"/>
      <c r="G24" s="27"/>
      <c r="H24" s="27"/>
    </row>
    <row r="26" spans="2:8" ht="14.25" customHeight="1" x14ac:dyDescent="0.3">
      <c r="B26" s="34" t="str">
        <f>B5</f>
        <v>Particulars</v>
      </c>
      <c r="C26" s="34">
        <f>C5</f>
        <v>43921</v>
      </c>
      <c r="D26" s="34">
        <f>D5</f>
        <v>44286</v>
      </c>
      <c r="E26" s="34">
        <f>E5</f>
        <v>44651</v>
      </c>
      <c r="F26" s="34">
        <f>F5</f>
        <v>45016</v>
      </c>
      <c r="G26" s="34">
        <f>G5</f>
        <v>45382</v>
      </c>
      <c r="H26" s="34">
        <f>H5</f>
        <v>45747</v>
      </c>
    </row>
    <row r="27" spans="2:8" ht="14.25" customHeight="1" x14ac:dyDescent="0.3">
      <c r="B27" s="33"/>
      <c r="C27" s="33"/>
      <c r="D27" s="33"/>
      <c r="E27" s="33"/>
      <c r="F27" s="33"/>
      <c r="G27" s="33"/>
      <c r="H27" s="33"/>
    </row>
    <row r="28" spans="2:8" ht="14.25" customHeight="1" x14ac:dyDescent="0.3">
      <c r="B28" s="32" t="s">
        <v>82</v>
      </c>
      <c r="C28" s="31">
        <f>'[1]Data Sheet'!F61/'[1]Data Sheet'!F$61</f>
        <v>1</v>
      </c>
      <c r="D28" s="31">
        <f>'[1]Data Sheet'!G61/'[1]Data Sheet'!G$61</f>
        <v>1</v>
      </c>
      <c r="E28" s="31">
        <f>'[1]Data Sheet'!H61/'[1]Data Sheet'!H$61</f>
        <v>1</v>
      </c>
      <c r="F28" s="31">
        <f>'[1]Data Sheet'!I61/'[1]Data Sheet'!I$61</f>
        <v>1</v>
      </c>
      <c r="G28" s="31">
        <f>'[1]Data Sheet'!J61/'[1]Data Sheet'!J$61</f>
        <v>1</v>
      </c>
      <c r="H28" s="31">
        <f>'[1]Data Sheet'!K61/'[1]Data Sheet'!K$61</f>
        <v>1</v>
      </c>
    </row>
    <row r="29" spans="2:8" ht="14.25" customHeight="1" x14ac:dyDescent="0.3">
      <c r="B29" s="30" t="str">
        <f>'[1]Data Sheet'!A57</f>
        <v>Equity Share Capital</v>
      </c>
      <c r="C29" s="22">
        <f>'[1]Data Sheet'!F57/'[1]Data Sheet'!F$61</f>
        <v>3.3447558786220749E-3</v>
      </c>
      <c r="D29" s="22">
        <f>'[1]Data Sheet'!G57/'[1]Data Sheet'!G$61</f>
        <v>3.3651913673369916E-3</v>
      </c>
      <c r="E29" s="22">
        <f>'[1]Data Sheet'!H57/'[1]Data Sheet'!H$61</f>
        <v>3.2256213857433289E-3</v>
      </c>
      <c r="F29" s="22">
        <f>'[1]Data Sheet'!I57/'[1]Data Sheet'!I$61</f>
        <v>2.7257267890892414E-3</v>
      </c>
      <c r="G29" s="22">
        <f>'[1]Data Sheet'!J57/'[1]Data Sheet'!J$61</f>
        <v>2.3746415649440909E-3</v>
      </c>
      <c r="H29" s="22">
        <f>'[1]Data Sheet'!K57/'[1]Data Sheet'!K$61</f>
        <v>2.0221861885136201E-3</v>
      </c>
    </row>
    <row r="30" spans="2:8" ht="14.25" customHeight="1" x14ac:dyDescent="0.3">
      <c r="B30" s="30" t="str">
        <f>'[1]Data Sheet'!A58</f>
        <v>Reserves</v>
      </c>
      <c r="C30" s="22">
        <f>'[1]Data Sheet'!F58/'[1]Data Sheet'!F$61</f>
        <v>0.23784667189609121</v>
      </c>
      <c r="D30" s="22">
        <f>'[1]Data Sheet'!G58/'[1]Data Sheet'!G$61</f>
        <v>0.24869482524312395</v>
      </c>
      <c r="E30" s="22">
        <f>'[1]Data Sheet'!H58/'[1]Data Sheet'!H$61</f>
        <v>0.27012580712320183</v>
      </c>
      <c r="F30" s="22">
        <f>'[1]Data Sheet'!I58/'[1]Data Sheet'!I$61</f>
        <v>0.27319421824014545</v>
      </c>
      <c r="G30" s="22">
        <f>'[1]Data Sheet'!J58/'[1]Data Sheet'!J$61</f>
        <v>0.27962118038150197</v>
      </c>
      <c r="H30" s="22">
        <f>'[1]Data Sheet'!K58/'[1]Data Sheet'!K$61</f>
        <v>0.27709080972805794</v>
      </c>
    </row>
    <row r="31" spans="2:8" ht="14.25" customHeight="1" x14ac:dyDescent="0.3">
      <c r="B31" s="30" t="str">
        <f>'[1]Data Sheet'!A59</f>
        <v>Borrowings</v>
      </c>
      <c r="C31" s="22">
        <f>'[1]Data Sheet'!F59/'[1]Data Sheet'!F$61</f>
        <v>0.49537893504995556</v>
      </c>
      <c r="D31" s="22">
        <f>'[1]Data Sheet'!G59/'[1]Data Sheet'!G$61</f>
        <v>0.48872913970820947</v>
      </c>
      <c r="E31" s="22">
        <f>'[1]Data Sheet'!H59/'[1]Data Sheet'!H$61</f>
        <v>0.45017628497122986</v>
      </c>
      <c r="F31" s="22">
        <f>'[1]Data Sheet'!I59/'[1]Data Sheet'!I$61</f>
        <v>0.45156371943194723</v>
      </c>
      <c r="G31" s="22">
        <f>'[1]Data Sheet'!J59/'[1]Data Sheet'!J$61</f>
        <v>0.46287680893981104</v>
      </c>
      <c r="H31" s="22">
        <f>'[1]Data Sheet'!K59/'[1]Data Sheet'!K$61</f>
        <v>0.46745807337592171</v>
      </c>
    </row>
    <row r="32" spans="2:8" ht="14.25" customHeight="1" x14ac:dyDescent="0.3">
      <c r="B32" s="30" t="str">
        <f>'[1]Data Sheet'!A60</f>
        <v>Other Liabilities</v>
      </c>
      <c r="C32" s="22">
        <f>'[1]Data Sheet'!F60/'[1]Data Sheet'!F$61</f>
        <v>0.26342963717533108</v>
      </c>
      <c r="D32" s="22">
        <f>'[1]Data Sheet'!G60/'[1]Data Sheet'!G$61</f>
        <v>0.25921084368132963</v>
      </c>
      <c r="E32" s="22">
        <f>'[1]Data Sheet'!H60/'[1]Data Sheet'!H$61</f>
        <v>0.27647228651982508</v>
      </c>
      <c r="F32" s="22">
        <f>'[1]Data Sheet'!I60/'[1]Data Sheet'!I$61</f>
        <v>0.2725163355388181</v>
      </c>
      <c r="G32" s="22">
        <f>'[1]Data Sheet'!J60/'[1]Data Sheet'!J$61</f>
        <v>0.25512736911374295</v>
      </c>
      <c r="H32" s="22">
        <f>'[1]Data Sheet'!K60/'[1]Data Sheet'!K$61</f>
        <v>0.25342893070750688</v>
      </c>
    </row>
    <row r="34" spans="2:8" ht="14.25" customHeight="1" x14ac:dyDescent="0.3">
      <c r="B34" s="32" t="s">
        <v>37</v>
      </c>
      <c r="C34" s="31">
        <f>'[1]Data Sheet'!F76/'[1]Data Sheet'!F$76</f>
        <v>1</v>
      </c>
      <c r="D34" s="31">
        <f>'[1]Data Sheet'!G76/'[1]Data Sheet'!G$76</f>
        <v>1</v>
      </c>
      <c r="E34" s="31">
        <f>'[1]Data Sheet'!H76/'[1]Data Sheet'!H$76</f>
        <v>1</v>
      </c>
      <c r="F34" s="31">
        <f>'[1]Data Sheet'!I76/'[1]Data Sheet'!I$76</f>
        <v>1</v>
      </c>
      <c r="G34" s="31">
        <f>'[1]Data Sheet'!J76/'[1]Data Sheet'!J$76</f>
        <v>1</v>
      </c>
      <c r="H34" s="31">
        <f>'[1]Data Sheet'!K76/'[1]Data Sheet'!K$76</f>
        <v>1</v>
      </c>
    </row>
    <row r="35" spans="2:8" ht="14.25" customHeight="1" x14ac:dyDescent="0.3">
      <c r="B35" s="30" t="str">
        <f>'[1]Data Sheet'!A62</f>
        <v>Net Block</v>
      </c>
      <c r="C35" s="22">
        <f>'[1]Data Sheet'!F62/'[1]Data Sheet'!F$76</f>
        <v>0.17915739403279571</v>
      </c>
      <c r="D35" s="22">
        <f>'[1]Data Sheet'!G62/'[1]Data Sheet'!G$76</f>
        <v>0.12959869327646101</v>
      </c>
      <c r="E35" s="22">
        <f>'[1]Data Sheet'!H62/'[1]Data Sheet'!H$76</f>
        <v>0.1509293920957252</v>
      </c>
      <c r="F35" s="22">
        <f>'[1]Data Sheet'!I62/'[1]Data Sheet'!I$76</f>
        <v>0.13285472960983122</v>
      </c>
      <c r="G35" s="22">
        <f>'[1]Data Sheet'!J62/'[1]Data Sheet'!J$76</f>
        <v>0.11984151957973727</v>
      </c>
      <c r="H35" s="22">
        <f>'[1]Data Sheet'!K62/'[1]Data Sheet'!K$76</f>
        <v>0.12548807455412633</v>
      </c>
    </row>
    <row r="36" spans="2:8" ht="14.25" customHeight="1" x14ac:dyDescent="0.3">
      <c r="B36" s="30" t="str">
        <f>'[1]Data Sheet'!A63</f>
        <v>Capital Work in Progress</v>
      </c>
      <c r="C36" s="22">
        <f>'[1]Data Sheet'!F63/'[1]Data Sheet'!F$76</f>
        <v>4.1374849871282891E-2</v>
      </c>
      <c r="D36" s="22">
        <f>'[1]Data Sheet'!G63/'[1]Data Sheet'!G$76</f>
        <v>4.7721947600487924E-2</v>
      </c>
      <c r="E36" s="22">
        <f>'[1]Data Sheet'!H63/'[1]Data Sheet'!H$76</f>
        <v>3.8882004245179021E-2</v>
      </c>
      <c r="F36" s="22">
        <f>'[1]Data Sheet'!I63/'[1]Data Sheet'!I$76</f>
        <v>1.9426861141201429E-2</v>
      </c>
      <c r="G36" s="22">
        <f>'[1]Data Sheet'!J63/'[1]Data Sheet'!J$76</f>
        <v>3.4250342554549916E-2</v>
      </c>
      <c r="H36" s="22">
        <f>'[1]Data Sheet'!K63/'[1]Data Sheet'!K$76</f>
        <v>3.0062479629594473E-2</v>
      </c>
    </row>
    <row r="37" spans="2:8" ht="14.25" customHeight="1" x14ac:dyDescent="0.3">
      <c r="B37" s="30" t="str">
        <f>'[1]Data Sheet'!A64</f>
        <v>Investments</v>
      </c>
      <c r="C37" s="22">
        <f>'[1]Data Sheet'!F64/'[1]Data Sheet'!F$76</f>
        <v>0.1159231753722465</v>
      </c>
      <c r="D37" s="22">
        <f>'[1]Data Sheet'!G64/'[1]Data Sheet'!G$76</f>
        <v>0.17444354319401792</v>
      </c>
      <c r="E37" s="22">
        <f>'[1]Data Sheet'!H64/'[1]Data Sheet'!H$76</f>
        <v>0.17437608508549499</v>
      </c>
      <c r="F37" s="22">
        <f>'[1]Data Sheet'!I64/'[1]Data Sheet'!I$76</f>
        <v>0.17266438006897583</v>
      </c>
      <c r="G37" s="22">
        <f>'[1]Data Sheet'!J64/'[1]Data Sheet'!J$76</f>
        <v>0.14999931408143105</v>
      </c>
      <c r="H37" s="22">
        <f>'[1]Data Sheet'!K64/'[1]Data Sheet'!K$76</f>
        <v>0.14966159584564737</v>
      </c>
    </row>
    <row r="38" spans="2:8" ht="14.25" customHeight="1" x14ac:dyDescent="0.3">
      <c r="B38" s="30" t="str">
        <f>'[1]Data Sheet'!A65</f>
        <v>Other Assets</v>
      </c>
      <c r="C38" s="22">
        <f>'[1]Data Sheet'!F75/'[1]Data Sheet'!F$76</f>
        <v>0.50694522011828302</v>
      </c>
      <c r="D38" s="22">
        <f>'[1]Data Sheet'!G75/'[1]Data Sheet'!G$76</f>
        <v>0.47562595802479185</v>
      </c>
      <c r="E38" s="22">
        <f>'[1]Data Sheet'!H75/'[1]Data Sheet'!H$76</f>
        <v>0.46708095186633397</v>
      </c>
      <c r="F38" s="22">
        <f>'[1]Data Sheet'!I75/'[1]Data Sheet'!I$76</f>
        <v>0.50295748846221411</v>
      </c>
      <c r="G38" s="22">
        <f>'[1]Data Sheet'!J75/'[1]Data Sheet'!J$76</f>
        <v>0.53374821607917533</v>
      </c>
      <c r="H38" s="22">
        <f>'[1]Data Sheet'!K75/'[1]Data Sheet'!K$76</f>
        <v>0.51644320147633549</v>
      </c>
    </row>
    <row r="39" spans="2:8" ht="14.25" customHeight="1" x14ac:dyDescent="0.3">
      <c r="B39" s="30" t="str">
        <f>'[1]Data Sheet'!A67</f>
        <v>Receivables</v>
      </c>
      <c r="C39" s="22">
        <f>'[1]Data Sheet'!F67/'[1]Data Sheet'!F$76</f>
        <v>4.1808120911343991E-2</v>
      </c>
      <c r="D39" s="22">
        <f>'[1]Data Sheet'!G67/'[1]Data Sheet'!G$76</f>
        <v>3.641765664961269E-2</v>
      </c>
      <c r="E39" s="22">
        <f>'[1]Data Sheet'!H67/'[1]Data Sheet'!H$76</f>
        <v>3.6974336279643728E-2</v>
      </c>
      <c r="F39" s="22">
        <f>'[1]Data Sheet'!I67/'[1]Data Sheet'!I$76</f>
        <v>3.440333031905278E-2</v>
      </c>
      <c r="G39" s="22">
        <f>'[1]Data Sheet'!J67/'[1]Data Sheet'!J$76</f>
        <v>3.1779757597229806E-2</v>
      </c>
      <c r="H39" s="22">
        <f>'[1]Data Sheet'!K67/'[1]Data Sheet'!K$76</f>
        <v>2.9997482728722071E-2</v>
      </c>
    </row>
    <row r="40" spans="2:8" ht="14.25" customHeight="1" x14ac:dyDescent="0.3">
      <c r="B40" s="30" t="str">
        <f>'[1]Data Sheet'!A68</f>
        <v>Inventory</v>
      </c>
      <c r="C40" s="22">
        <f>'[1]Data Sheet'!F68/'[1]Data Sheet'!F$76</f>
        <v>6.7053581326090586E-2</v>
      </c>
      <c r="D40" s="22">
        <f>'[1]Data Sheet'!G68/'[1]Data Sheet'!G$76</f>
        <v>5.8286399577421925E-2</v>
      </c>
      <c r="E40" s="22">
        <f>'[1]Data Sheet'!H68/'[1]Data Sheet'!H$76</f>
        <v>6.7265627769000122E-2</v>
      </c>
      <c r="F40" s="22">
        <f>'[1]Data Sheet'!I68/'[1]Data Sheet'!I$76</f>
        <v>8.2507889907502394E-2</v>
      </c>
      <c r="G40" s="22">
        <f>'[1]Data Sheet'!J68/'[1]Data Sheet'!J$76</f>
        <v>7.9202165082791237E-2</v>
      </c>
      <c r="H40" s="22">
        <f>'[1]Data Sheet'!K68/'[1]Data Sheet'!K$76</f>
        <v>7.3659277695309902E-2</v>
      </c>
    </row>
    <row r="41" spans="2:8" ht="14.25" customHeight="1" x14ac:dyDescent="0.3">
      <c r="B41" s="30" t="str">
        <f>'[1]Data Sheet'!A69</f>
        <v>Cash &amp; Bank</v>
      </c>
      <c r="C41" s="22">
        <f>'[1]Data Sheet'!F69/'[1]Data Sheet'!F$76</f>
        <v>4.7737658367957299E-2</v>
      </c>
      <c r="D41" s="22">
        <f>'[1]Data Sheet'!G69/'[1]Data Sheet'!G$76</f>
        <v>7.7905801677206774E-2</v>
      </c>
      <c r="E41" s="22">
        <f>'[1]Data Sheet'!H69/'[1]Data Sheet'!H$76</f>
        <v>6.4491602658622985E-2</v>
      </c>
      <c r="F41" s="22">
        <f>'[1]Data Sheet'!I69/'[1]Data Sheet'!I$76</f>
        <v>5.5185320491222156E-2</v>
      </c>
      <c r="G41" s="22">
        <f>'[1]Data Sheet'!J69/'[1]Data Sheet'!J$76</f>
        <v>5.1178685025085449E-2</v>
      </c>
      <c r="H41" s="22">
        <f>'[1]Data Sheet'!K69/'[1]Data Sheet'!K$76</f>
        <v>7.4687888070264483E-2</v>
      </c>
    </row>
    <row r="42" spans="2:8" ht="14.25" customHeight="1" x14ac:dyDescent="0.3">
      <c r="B42" s="30"/>
    </row>
    <row r="43" spans="2:8" ht="14.25" customHeight="1" x14ac:dyDescent="0.3">
      <c r="B43" s="30"/>
    </row>
  </sheetData>
  <mergeCells count="2">
    <mergeCell ref="B3:H3"/>
    <mergeCell ref="B24:H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ED57-CE18-4FCE-8091-286E2F038D0F}">
  <dimension ref="B2:K38"/>
  <sheetViews>
    <sheetView showGridLines="0" topLeftCell="A19" zoomScale="97" zoomScaleNormal="97" workbookViewId="0">
      <selection activeCell="O7" sqref="O7"/>
    </sheetView>
  </sheetViews>
  <sheetFormatPr defaultColWidth="8.6640625" defaultRowHeight="14.4" x14ac:dyDescent="0.3"/>
  <cols>
    <col min="1" max="1" width="1.88671875" style="1" customWidth="1"/>
    <col min="2" max="2" width="28.33203125" style="1" customWidth="1"/>
    <col min="3" max="3" width="10.33203125" style="1" customWidth="1"/>
    <col min="4" max="4" width="11" style="1" customWidth="1"/>
    <col min="5" max="5" width="11.109375" style="1" customWidth="1"/>
    <col min="6" max="6" width="11.77734375" style="1" customWidth="1"/>
    <col min="7" max="7" width="11.6640625" style="1" customWidth="1"/>
    <col min="8" max="8" width="11.33203125" style="1" customWidth="1"/>
    <col min="9" max="9" width="11.77734375" style="1" customWidth="1"/>
    <col min="10" max="10" width="13.109375" style="1" customWidth="1"/>
    <col min="11" max="11" width="11.44140625" style="1" customWidth="1"/>
    <col min="12" max="16384" width="8.6640625" style="1"/>
  </cols>
  <sheetData>
    <row r="2" spans="2:11" ht="14.25" customHeight="1" x14ac:dyDescent="0.3">
      <c r="B2" s="27" t="s">
        <v>116</v>
      </c>
      <c r="C2" s="27"/>
      <c r="D2" s="27"/>
      <c r="E2" s="27"/>
      <c r="F2" s="27"/>
      <c r="G2" s="27"/>
      <c r="H2" s="27"/>
      <c r="I2" s="27"/>
      <c r="J2" s="27"/>
      <c r="K2" s="27"/>
    </row>
    <row r="3" spans="2:11" ht="14.25" customHeight="1" x14ac:dyDescent="0.3">
      <c r="B3" s="26" t="s">
        <v>79</v>
      </c>
      <c r="C3" s="25">
        <v>43921</v>
      </c>
      <c r="D3" s="25">
        <v>44286</v>
      </c>
      <c r="E3" s="25">
        <v>44651</v>
      </c>
      <c r="F3" s="25">
        <v>45016</v>
      </c>
      <c r="G3" s="25">
        <v>45382</v>
      </c>
      <c r="H3" s="25">
        <v>45747</v>
      </c>
      <c r="I3" s="49" t="s">
        <v>115</v>
      </c>
      <c r="J3" s="48" t="s">
        <v>114</v>
      </c>
      <c r="K3" s="48" t="s">
        <v>113</v>
      </c>
    </row>
    <row r="5" spans="2:11" ht="14.25" customHeight="1" x14ac:dyDescent="0.3">
      <c r="B5" s="41" t="s">
        <v>112</v>
      </c>
      <c r="C5" s="41"/>
      <c r="D5" s="40">
        <f>'M&amp;M PROJECT 3 Statement'!D11</f>
        <v>-1.4647409531700739E-2</v>
      </c>
      <c r="E5" s="40">
        <f>'M&amp;M PROJECT 3 Statement'!E11</f>
        <v>0.21396425687466714</v>
      </c>
      <c r="F5" s="40">
        <f>'M&amp;M PROJECT 3 Statement'!F11</f>
        <v>0.3448794878417647</v>
      </c>
      <c r="G5" s="40">
        <f>'M&amp;M PROJECT 3 Statement'!G11</f>
        <v>0.14686182031532491</v>
      </c>
      <c r="H5" s="40">
        <f>'M&amp;M PROJECT 3 Statement'!H11</f>
        <v>0.14475697749188288</v>
      </c>
      <c r="I5" s="38"/>
      <c r="J5" s="40">
        <f>AVERAGE(D5:H5)</f>
        <v>0.16716302659838778</v>
      </c>
      <c r="K5" s="40">
        <f>MEDIAN(C5:H5)</f>
        <v>0.14686182031532491</v>
      </c>
    </row>
    <row r="6" spans="2:11" ht="14.25" customHeight="1" x14ac:dyDescent="0.3">
      <c r="B6" s="1" t="s">
        <v>111</v>
      </c>
      <c r="C6" s="22"/>
      <c r="D6" s="22">
        <f>'M&amp;M PROJECT 3 Statement'!D22/'M&amp;M PROJECT 3 Statement'!C22-1</f>
        <v>0.13086264182520901</v>
      </c>
      <c r="E6" s="22">
        <f>'M&amp;M PROJECT 3 Statement'!E22/'M&amp;M PROJECT 3 Statement'!D22-1</f>
        <v>0.27821227785796632</v>
      </c>
      <c r="F6" s="22">
        <f>'M&amp;M PROJECT 3 Statement'!F22/'M&amp;M PROJECT 3 Statement'!E22-1</f>
        <v>0.38156352479252909</v>
      </c>
      <c r="G6" s="22">
        <f>'M&amp;M PROJECT 3 Statement'!G22/'M&amp;M PROJECT 3 Statement'!F22-1</f>
        <v>0.22709263707839389</v>
      </c>
      <c r="H6" s="22">
        <f>'M&amp;M PROJECT 3 Statement'!H22/'M&amp;M PROJECT 3 Statement'!G22-1</f>
        <v>0.22602747155403424</v>
      </c>
      <c r="I6" s="38"/>
      <c r="J6" s="22">
        <f>AVERAGE(D6:H6)</f>
        <v>0.24875171062162652</v>
      </c>
      <c r="K6" s="22">
        <f>MEDIAN(C6:H6)</f>
        <v>0.22709263707839389</v>
      </c>
    </row>
    <row r="7" spans="2:11" ht="14.25" customHeight="1" x14ac:dyDescent="0.3">
      <c r="B7" s="1" t="s">
        <v>110</v>
      </c>
      <c r="D7" s="22">
        <f>'M&amp;M PROJECT 3 Statement'!D31/'M&amp;M PROJECT 3 Statement'!C31-1</f>
        <v>1.6063616999169166</v>
      </c>
      <c r="E7" s="22">
        <f>'M&amp;M PROJECT 3 Statement'!E31/'M&amp;M PROJECT 3 Statement'!D31-1</f>
        <v>2.0683862480004427</v>
      </c>
      <c r="F7" s="22">
        <f>'M&amp;M PROJECT 3 Statement'!F31/'M&amp;M PROJECT 3 Statement'!E31-1</f>
        <v>0.64013122634920827</v>
      </c>
      <c r="G7" s="22">
        <f>'M&amp;M PROJECT 3 Statement'!G31/'M&amp;M PROJECT 3 Statement'!F31-1</f>
        <v>0.25559126944046451</v>
      </c>
      <c r="H7" s="22">
        <f>'M&amp;M PROJECT 3 Statement'!H31/'M&amp;M PROJECT 3 Statement'!G31-1</f>
        <v>0.21145289331022155</v>
      </c>
      <c r="I7" s="38"/>
      <c r="J7" s="22">
        <f>AVERAGE(D7:H7)</f>
        <v>0.95638466740345085</v>
      </c>
      <c r="K7" s="22">
        <f>MEDIAN(C7:H7)</f>
        <v>0.64013122634920827</v>
      </c>
    </row>
    <row r="8" spans="2:11" ht="14.25" customHeight="1" x14ac:dyDescent="0.3">
      <c r="B8" s="1" t="s">
        <v>109</v>
      </c>
      <c r="D8" s="22">
        <f>'M&amp;M PROJECT 3 Statement'!D40/'M&amp;M PROJECT 3 Statement'!C40-1</f>
        <v>-5.7114953271026607</v>
      </c>
      <c r="E8" s="22">
        <f>'M&amp;M PROJECT 3 Statement'!E40/'M&amp;M PROJECT 3 Statement'!D40-1</f>
        <v>3.7957272925634253</v>
      </c>
      <c r="F8" s="22">
        <f>'M&amp;M PROJECT 3 Statement'!F40/'M&amp;M PROJECT 3 Statement'!E40-1</f>
        <v>0.56824270199544502</v>
      </c>
      <c r="G8" s="22">
        <f>'M&amp;M PROJECT 3 Statement'!G40/'M&amp;M PROJECT 3 Statement'!F40-1</f>
        <v>7.8714807182392432E-2</v>
      </c>
      <c r="H8" s="22">
        <f>'M&amp;M PROJECT 3 Statement'!H40/'M&amp;M PROJECT 3 Statement'!G40-1</f>
        <v>0.14697444624289591</v>
      </c>
      <c r="I8" s="38"/>
      <c r="J8" s="22">
        <f>AVERAGE(D8:H8)</f>
        <v>-0.22436721582370039</v>
      </c>
      <c r="K8" s="22">
        <f>MEDIAN(C8:H8)</f>
        <v>0.14697444624289591</v>
      </c>
    </row>
    <row r="9" spans="2:11" ht="14.25" customHeight="1" x14ac:dyDescent="0.3">
      <c r="B9" s="39" t="s">
        <v>108</v>
      </c>
      <c r="C9" s="39"/>
      <c r="D9" s="37">
        <f>'M&amp;M PROJECT 3 Statement'!D48/'M&amp;M PROJECT 3 Statement'!C48-1</f>
        <v>2.7292618325592106</v>
      </c>
      <c r="E9" s="37">
        <f>'M&amp;M PROJECT 3 Statement'!E48/'M&amp;M PROJECT 3 Statement'!D48-1</f>
        <v>0.32216858292760753</v>
      </c>
      <c r="F9" s="37">
        <f>'M&amp;M PROJECT 3 Statement'!F48/'M&amp;M PROJECT 3 Statement'!E48-1</f>
        <v>0.40850401816968662</v>
      </c>
      <c r="G9" s="37">
        <f>'M&amp;M PROJECT 3 Statement'!G48/'M&amp;M PROJECT 3 Statement'!F48-1</f>
        <v>0.29976901738448092</v>
      </c>
      <c r="H9" s="37">
        <f>'M&amp;M PROJECT 3 Statement'!H48/'M&amp;M PROJECT 3 Statement'!G48-1</f>
        <v>0.20071084204171519</v>
      </c>
      <c r="I9" s="38"/>
      <c r="J9" s="37">
        <f>AVERAGE(D9:H9)</f>
        <v>0.79208285861654026</v>
      </c>
      <c r="K9" s="37">
        <f>MEDIAN(C9:H9)</f>
        <v>0.32216858292760753</v>
      </c>
    </row>
    <row r="10" spans="2:11" ht="14.25" customHeight="1" x14ac:dyDescent="0.3">
      <c r="I10" s="38"/>
    </row>
    <row r="11" spans="2:11" ht="14.25" customHeight="1" x14ac:dyDescent="0.3">
      <c r="B11" s="41" t="s">
        <v>107</v>
      </c>
      <c r="C11" s="40">
        <f>'M&amp;M PROJECT 3 Statement'!C17</f>
        <v>0.33080182478745224</v>
      </c>
      <c r="D11" s="40">
        <f>'M&amp;M PROJECT 3 Statement'!D17</f>
        <v>0.33798492631309129</v>
      </c>
      <c r="E11" s="40">
        <f>'M&amp;M PROJECT 3 Statement'!E17</f>
        <v>0.29183690421386954</v>
      </c>
      <c r="F11" s="40">
        <f>'M&amp;M PROJECT 3 Statement'!F17</f>
        <v>0.27158022422136663</v>
      </c>
      <c r="G11" s="40">
        <f>'M&amp;M PROJECT 3 Statement'!G17</f>
        <v>0.28972685668293108</v>
      </c>
      <c r="H11" s="40">
        <f>'M&amp;M PROJECT 3 Statement'!H17</f>
        <v>0.29738745143075074</v>
      </c>
      <c r="I11" s="38"/>
      <c r="J11" s="40">
        <f>AVERAGE(C11:H11)</f>
        <v>0.30321969794157688</v>
      </c>
      <c r="K11" s="40">
        <f>MEDIAN(C11:H11)</f>
        <v>0.29461217782231014</v>
      </c>
    </row>
    <row r="12" spans="2:11" ht="14.25" customHeight="1" x14ac:dyDescent="0.3">
      <c r="B12" s="1" t="s">
        <v>106</v>
      </c>
      <c r="C12" s="22">
        <f>'M&amp;M PROJECT 3 Statement'!C23</f>
        <v>0.13475046340681368</v>
      </c>
      <c r="D12" s="22">
        <f>'M&amp;M PROJECT 3 Statement'!D23</f>
        <v>0.15464947929246142</v>
      </c>
      <c r="E12" s="22">
        <f>'M&amp;M PROJECT 3 Statement'!E23</f>
        <v>0.16283417083866741</v>
      </c>
      <c r="F12" s="22">
        <f>'M&amp;M PROJECT 3 Statement'!F23</f>
        <v>0.1672757693565233</v>
      </c>
      <c r="G12" s="22">
        <f>'M&amp;M PROJECT 3 Statement'!G23</f>
        <v>0.17897785182401243</v>
      </c>
      <c r="H12" s="22">
        <f>'M&amp;M PROJECT 3 Statement'!H23</f>
        <v>0.19168414558759261</v>
      </c>
      <c r="I12" s="38"/>
      <c r="J12" s="22">
        <f>AVERAGE(C12:H12)</f>
        <v>0.16502864671767847</v>
      </c>
      <c r="K12" s="22">
        <f>MEDIAN(C12:H12)</f>
        <v>0.16505497009759534</v>
      </c>
    </row>
    <row r="13" spans="2:11" ht="14.25" customHeight="1" x14ac:dyDescent="0.3">
      <c r="B13" s="1" t="s">
        <v>105</v>
      </c>
      <c r="C13" s="22">
        <v>9.0088831633788002E-2</v>
      </c>
      <c r="D13" s="22">
        <v>0.109170064048764</v>
      </c>
      <c r="E13" s="22">
        <v>0.123935669919798</v>
      </c>
      <c r="F13" s="22">
        <v>0.13134881220233999</v>
      </c>
      <c r="G13" s="22">
        <v>0.14501294846419899</v>
      </c>
      <c r="H13" s="22">
        <v>0.15353567050279601</v>
      </c>
      <c r="I13" s="38"/>
      <c r="J13" s="22">
        <f>AVERAGE(C13:H13)</f>
        <v>0.12551533279528085</v>
      </c>
      <c r="K13" s="22">
        <f>MEDIAN(C13:H13)</f>
        <v>0.127642241061069</v>
      </c>
    </row>
    <row r="14" spans="2:11" ht="14.25" customHeight="1" x14ac:dyDescent="0.3">
      <c r="B14" s="1" t="s">
        <v>104</v>
      </c>
      <c r="C14" s="22">
        <f>'M&amp;M PROJECT 3 Statement'!C32</f>
        <v>1.0213588322824704E-2</v>
      </c>
      <c r="D14" s="22">
        <f>'M&amp;M PROJECT 3 Statement'!D32</f>
        <v>2.701602013415054E-2</v>
      </c>
      <c r="E14" s="22">
        <f>'M&amp;M PROJECT 3 Statement'!E32</f>
        <v>6.8285029139773884E-2</v>
      </c>
      <c r="F14" s="22">
        <f>'M&amp;M PROJECT 3 Statement'!F32</f>
        <v>8.3276166821488459E-2</v>
      </c>
      <c r="G14" s="22">
        <f>'M&amp;M PROJECT 3 Statement'!G32</f>
        <v>9.1171251986381444E-2</v>
      </c>
      <c r="H14" s="22">
        <f>'M&amp;M PROJECT 3 Statement'!H32</f>
        <v>9.6483078222949936E-2</v>
      </c>
      <c r="I14" s="38"/>
      <c r="J14" s="22">
        <f>AVERAGE(C14:H14)</f>
        <v>6.2740855771261497E-2</v>
      </c>
      <c r="K14" s="22">
        <f>MEDIAN(C14:H14)</f>
        <v>7.5780597980631165E-2</v>
      </c>
    </row>
    <row r="15" spans="2:11" ht="14.25" customHeight="1" x14ac:dyDescent="0.3">
      <c r="B15" s="39" t="s">
        <v>103</v>
      </c>
      <c r="C15" s="37">
        <f>'M&amp;M PROJECT 3 Statement'!C41</f>
        <v>-4.2583149569135562E-3</v>
      </c>
      <c r="D15" s="37">
        <f>'M&amp;M PROJECT 3 Statement'!D41</f>
        <v>2.0361270894202876E-2</v>
      </c>
      <c r="E15" s="37">
        <f>'M&amp;M PROJECT 3 Statement'!E41</f>
        <v>8.0436554853762374E-2</v>
      </c>
      <c r="F15" s="37">
        <f>'M&amp;M PROJECT 3 Statement'!F41</f>
        <v>9.3795794540299307E-2</v>
      </c>
      <c r="G15" s="37">
        <f>'M&amp;M PROJECT 3 Statement'!G41</f>
        <v>8.8222408863728285E-2</v>
      </c>
      <c r="H15" s="37">
        <f>'M&amp;M PROJECT 3 Statement'!H41</f>
        <v>8.8393301410042369E-2</v>
      </c>
      <c r="I15" s="38"/>
      <c r="J15" s="37">
        <f>AVERAGE(C15:H15)</f>
        <v>6.1158502600853613E-2</v>
      </c>
      <c r="K15" s="37">
        <f>MEDIAN(C15:H15)</f>
        <v>8.4329481858745337E-2</v>
      </c>
    </row>
    <row r="16" spans="2:11" ht="14.25" customHeight="1" x14ac:dyDescent="0.3">
      <c r="I16" s="38"/>
    </row>
    <row r="17" spans="2:11" ht="14.25" customHeight="1" x14ac:dyDescent="0.3">
      <c r="B17" s="41" t="s">
        <v>102</v>
      </c>
      <c r="C17" s="40">
        <f>'M&amp;M PROJECT 3 Statement'!C20</f>
        <v>0.19605136138063858</v>
      </c>
      <c r="D17" s="40">
        <f>'M&amp;M PROJECT 3 Statement'!D20</f>
        <v>0.18333544702062987</v>
      </c>
      <c r="E17" s="40">
        <f>'M&amp;M PROJECT 3 Statement'!E20</f>
        <v>0.12900273337520213</v>
      </c>
      <c r="F17" s="40">
        <f>'M&amp;M PROJECT 3 Statement'!F20</f>
        <v>0.10430445486484334</v>
      </c>
      <c r="G17" s="40">
        <f>'M&amp;M PROJECT 3 Statement'!G20</f>
        <v>0.11074900485891867</v>
      </c>
      <c r="H17" s="40">
        <f>'M&amp;M PROJECT 3 Statement'!H20</f>
        <v>0.10570330584315815</v>
      </c>
      <c r="I17" s="38"/>
      <c r="J17" s="40">
        <f>AVERAGE(C17:H17)</f>
        <v>0.13819105122389844</v>
      </c>
      <c r="K17" s="40">
        <f>MEDIAN(C17:H17)</f>
        <v>0.1198758691170604</v>
      </c>
    </row>
    <row r="18" spans="2:11" ht="14.25" customHeight="1" x14ac:dyDescent="0.3">
      <c r="B18" s="1" t="s">
        <v>64</v>
      </c>
      <c r="C18" s="22">
        <f>'M&amp;M PROJECT 3 Statement'!C29</f>
        <v>4.4661631773025713E-2</v>
      </c>
      <c r="D18" s="22">
        <f>'M&amp;M PROJECT 3 Statement'!D29</f>
        <v>4.5479415243697377E-2</v>
      </c>
      <c r="E18" s="22">
        <f>'M&amp;M PROJECT 3 Statement'!E29</f>
        <v>3.8898500918869643E-2</v>
      </c>
      <c r="F18" s="22">
        <f>'M&amp;M PROJECT 3 Statement'!F29</f>
        <v>3.5926957154183835E-2</v>
      </c>
      <c r="G18" s="22">
        <f>'M&amp;M PROJECT 3 Statement'!G29</f>
        <v>3.3964903359813149E-2</v>
      </c>
      <c r="H18" s="22">
        <f>'M&amp;M PROJECT 3 Statement'!H29</f>
        <v>3.8148475084796366E-2</v>
      </c>
      <c r="I18" s="38"/>
      <c r="J18" s="22">
        <f>AVERAGE(C18:H18)</f>
        <v>3.951331392239768E-2</v>
      </c>
      <c r="K18" s="22">
        <f>MEDIAN(C18:H18)</f>
        <v>3.8523488001833001E-2</v>
      </c>
    </row>
    <row r="19" spans="2:11" ht="14.25" customHeight="1" x14ac:dyDescent="0.3">
      <c r="B19" s="39" t="s">
        <v>101</v>
      </c>
      <c r="C19" s="37">
        <f>'Ratio Analysis'!C13</f>
        <v>9.0088831633788002E-2</v>
      </c>
      <c r="D19" s="37">
        <f>'Ratio Analysis'!D13</f>
        <v>0.109170064048764</v>
      </c>
      <c r="E19" s="37">
        <f>'Ratio Analysis'!E13</f>
        <v>0.123935669919798</v>
      </c>
      <c r="F19" s="37">
        <f>'Ratio Analysis'!F13</f>
        <v>0.13134881220233999</v>
      </c>
      <c r="G19" s="37">
        <f>'Ratio Analysis'!G13</f>
        <v>0.14501294846419899</v>
      </c>
      <c r="H19" s="37">
        <f>'Ratio Analysis'!H13</f>
        <v>0.15353567050279601</v>
      </c>
      <c r="I19" s="38"/>
      <c r="J19" s="37">
        <f>AVERAGE(C19:H19)</f>
        <v>0.12551533279528085</v>
      </c>
      <c r="K19" s="37">
        <f>MEDIAN(C19:H19)</f>
        <v>0.127642241061069</v>
      </c>
    </row>
    <row r="20" spans="2:11" ht="14.25" customHeight="1" x14ac:dyDescent="0.3">
      <c r="I20" s="38"/>
    </row>
    <row r="21" spans="2:11" ht="14.25" customHeight="1" x14ac:dyDescent="0.3">
      <c r="B21" s="41" t="s">
        <v>100</v>
      </c>
      <c r="C21" s="40">
        <f>('M&amp;M PROJECT 3 Statement'!C22-'M&amp;M PROJECT 3 Statement'!C28)/(SUM('M&amp;M PROJECT 3 Statement'!C53:C55))</f>
        <v>5.5636420924878902E-2</v>
      </c>
      <c r="D21" s="40">
        <f>('M&amp;M PROJECT 3 Statement'!D22-'M&amp;M PROJECT 3 Statement'!D28)/(SUM('M&amp;M PROJECT 3 Statement'!D53:D55))</f>
        <v>6.635402708933838E-2</v>
      </c>
      <c r="E21" s="40">
        <f>('M&amp;M PROJECT 3 Statement'!E22-'M&amp;M PROJECT 3 Statement'!E28)/(SUM('M&amp;M PROJECT 3 Statement'!E53:E55))</f>
        <v>8.9597872487980998E-2</v>
      </c>
      <c r="F21" s="40">
        <f>('M&amp;M PROJECT 3 Statement'!F22-'M&amp;M PROJECT 3 Statement'!F28)/(SUM('M&amp;M PROJECT 3 Statement'!F53:F55))</f>
        <v>0.10718119266301987</v>
      </c>
      <c r="G21" s="40">
        <f>('M&amp;M PROJECT 3 Statement'!G22-'M&amp;M PROJECT 3 Statement'!G28)/(SUM('M&amp;M PROJECT 3 Statement'!G53:G55))</f>
        <v>0.1153534876325371</v>
      </c>
      <c r="H21" s="40">
        <f>('M&amp;M PROJECT 3 Statement'!H22-'M&amp;M PROJECT 3 Statement'!H28)/(SUM('M&amp;M PROJECT 3 Statement'!H53:H55))</f>
        <v>0.1186262832455869</v>
      </c>
      <c r="I21" s="38"/>
      <c r="J21" s="40">
        <f>AVERAGE(C21:H21)</f>
        <v>9.2124880673890366E-2</v>
      </c>
      <c r="K21" s="40">
        <f>MEDIAN(C21:H21)</f>
        <v>9.8389532575500427E-2</v>
      </c>
    </row>
    <row r="22" spans="2:11" ht="14.25" customHeight="1" x14ac:dyDescent="0.3">
      <c r="B22" s="1" t="s">
        <v>99</v>
      </c>
      <c r="C22" s="22">
        <f>('M&amp;M PROJECT 3 Statement'!C40)/(SUM('M&amp;M PROJECT 3 Statement'!C53:C54))</f>
        <v>-8.0311619089749285E-3</v>
      </c>
      <c r="D22" s="22">
        <f>('M&amp;M PROJECT 3 Statement'!D40)/(SUM('M&amp;M PROJECT 3 Statement'!D53:D54))</f>
        <v>3.6371336388507418E-2</v>
      </c>
      <c r="E22" s="22">
        <f>('M&amp;M PROJECT 3 Statement'!E40)/(SUM('M&amp;M PROJECT 3 Statement'!E53:E54))</f>
        <v>0.15391773466002798</v>
      </c>
      <c r="F22" s="22">
        <f>('M&amp;M PROJECT 3 Statement'!F40)/(SUM('M&amp;M PROJECT 3 Statement'!F53:F54))</f>
        <v>0.20179757970215648</v>
      </c>
      <c r="G22" s="22">
        <f>('M&amp;M PROJECT 3 Statement'!G40)/(SUM('M&amp;M PROJECT 3 Statement'!G53:G54))</f>
        <v>0.1853711745861002</v>
      </c>
      <c r="H22" s="22">
        <f>('M&amp;M PROJECT 3 Statement'!H40)/(SUM('M&amp;M PROJECT 3 Statement'!H53:H54))</f>
        <v>0.18267624936298385</v>
      </c>
      <c r="I22" s="38"/>
      <c r="J22" s="22">
        <f>AVERAGE(C22:H22)</f>
        <v>0.1253504854651335</v>
      </c>
      <c r="K22" s="22">
        <f>MEDIAN(C22:H22)</f>
        <v>0.16829699201150591</v>
      </c>
    </row>
    <row r="23" spans="2:11" ht="14.25" customHeight="1" x14ac:dyDescent="0.3">
      <c r="B23" s="39" t="s">
        <v>98</v>
      </c>
      <c r="C23" s="45">
        <f>('M&amp;M PROJECT 3 Statement'!C22-'M&amp;M PROJECT 3 Statement'!C28)/('M&amp;M PROJECT 3 Statement'!C25)</f>
        <v>1.1278692608554826</v>
      </c>
      <c r="D23" s="45">
        <f>('M&amp;M PROJECT 3 Statement'!D22-'M&amp;M PROJECT 3 Statement'!D28)/('M&amp;M PROJECT 3 Statement'!D25)</f>
        <v>1.3288458954282216</v>
      </c>
      <c r="E23" s="45">
        <f>('M&amp;M PROJECT 3 Statement'!E22-'M&amp;M PROJECT 3 Statement'!E28)/('M&amp;M PROJECT 3 Statement'!E25)</f>
        <v>2.227030420183143</v>
      </c>
      <c r="F23" s="45">
        <f>('M&amp;M PROJECT 3 Statement'!F22-'M&amp;M PROJECT 3 Statement'!F28)/('M&amp;M PROJECT 3 Statement'!F25)</f>
        <v>2.732298403005303</v>
      </c>
      <c r="G23" s="45">
        <f>('M&amp;M PROJECT 3 Statement'!G22-'M&amp;M PROJECT 3 Statement'!G28)/('M&amp;M PROJECT 3 Statement'!G25)</f>
        <v>2.693320566597357</v>
      </c>
      <c r="H23" s="45">
        <f>('M&amp;M PROJECT 3 Statement'!H22-'M&amp;M PROJECT 3 Statement'!H28)/('M&amp;M PROJECT 3 Statement'!H25)</f>
        <v>2.6911252296774664</v>
      </c>
      <c r="I23" s="38"/>
      <c r="J23" s="45">
        <f>AVERAGE(C23:H23)</f>
        <v>2.1334149626244954</v>
      </c>
      <c r="K23" s="45">
        <f>MEDIAN(C23:H23)</f>
        <v>2.4590778249303047</v>
      </c>
    </row>
    <row r="24" spans="2:11" ht="14.25" customHeight="1" x14ac:dyDescent="0.3">
      <c r="I24" s="38"/>
    </row>
    <row r="25" spans="2:11" ht="14.25" customHeight="1" x14ac:dyDescent="0.3">
      <c r="B25" s="41" t="s">
        <v>97</v>
      </c>
      <c r="C25" s="47">
        <f>'M&amp;M PROJECT 3 Statement'!C10/'M&amp;M PROJECT 3 Statement'!C65</f>
        <v>10.880323832177682</v>
      </c>
      <c r="D25" s="47">
        <f>'M&amp;M PROJECT 3 Statement'!D10/'M&amp;M PROJECT 3 Statement'!D65</f>
        <v>12.363639692664155</v>
      </c>
      <c r="E25" s="47">
        <f>'M&amp;M PROJECT 3 Statement'!E10/'M&amp;M PROJECT 3 Statement'!E65</f>
        <v>14.14673318742695</v>
      </c>
      <c r="F25" s="47">
        <f>'M&amp;M PROJECT 3 Statement'!F10/'M&amp;M PROJECT 3 Statement'!F65</f>
        <v>17.255009234464328</v>
      </c>
      <c r="G25" s="47">
        <f>'M&amp;M PROJECT 3 Statement'!G10/'M&amp;M PROJECT 3 Statement'!G65</f>
        <v>18.644699305574175</v>
      </c>
      <c r="H25" s="47">
        <f>'M&amp;M PROJECT 3 Statement'!H10/'M&amp;M PROJECT 3 Statement'!H65</f>
        <v>19.22905660833122</v>
      </c>
      <c r="I25" s="38"/>
      <c r="J25" s="47">
        <f>AVERAGE(C25:H25)</f>
        <v>15.419910310106419</v>
      </c>
      <c r="K25" s="47">
        <f>MEDIAN(C25:H25)</f>
        <v>15.700871210945639</v>
      </c>
    </row>
    <row r="26" spans="2:11" ht="14.25" customHeight="1" x14ac:dyDescent="0.3">
      <c r="B26" s="1" t="s">
        <v>96</v>
      </c>
      <c r="C26" s="46">
        <f>'M&amp;M PROJECT 3 Statement'!C10/'M&amp;M PROJECT 3 Statement'!C56</f>
        <v>1.7267832853123637</v>
      </c>
      <c r="D26" s="46">
        <f>'M&amp;M PROJECT 3 Statement'!D10/'M&amp;M PROJECT 3 Statement'!D56</f>
        <v>1.7370214103407777</v>
      </c>
      <c r="E26" s="46">
        <f>'M&amp;M PROJECT 3 Statement'!E10/'M&amp;M PROJECT 3 Statement'!E56</f>
        <v>1.8919294831122706</v>
      </c>
      <c r="F26" s="46">
        <f>'M&amp;M PROJECT 3 Statement'!F10/'M&amp;M PROJECT 3 Statement'!F56</f>
        <v>2.178327332847259</v>
      </c>
      <c r="G26" s="46">
        <f>'M&amp;M PROJECT 3 Statement'!G10/'M&amp;M PROJECT 3 Statement'!G56</f>
        <v>2.3224635853953495</v>
      </c>
      <c r="H26" s="46">
        <f>'M&amp;M PROJECT 3 Statement'!H10/'M&amp;M PROJECT 3 Statement'!H56</f>
        <v>2.276075157984907</v>
      </c>
      <c r="I26" s="38"/>
      <c r="J26" s="46">
        <f>AVERAGE(C26:H26)</f>
        <v>2.0221000424988214</v>
      </c>
      <c r="K26" s="46">
        <f>MEDIAN(C26:H26)</f>
        <v>2.0351284079797649</v>
      </c>
    </row>
    <row r="27" spans="2:11" ht="14.25" customHeight="1" x14ac:dyDescent="0.3">
      <c r="B27" s="1" t="s">
        <v>95</v>
      </c>
      <c r="C27" s="46">
        <f>'M&amp;M PROJECT 3 Statement'!C10/'M&amp;M PROJECT 3 Statement'!C66</f>
        <v>6.7839164640303231</v>
      </c>
      <c r="D27" s="46">
        <f>'M&amp;M PROJECT 3 Statement'!D10/'M&amp;M PROJECT 3 Statement'!D66</f>
        <v>7.7248687263465623</v>
      </c>
      <c r="E27" s="46">
        <f>'M&amp;M PROJECT 3 Statement'!E10/'M&amp;M PROJECT 3 Statement'!E66</f>
        <v>7.7761270871745172</v>
      </c>
      <c r="F27" s="46">
        <f>'M&amp;M PROJECT 3 Statement'!F10/'M&amp;M PROJECT 3 Statement'!F66</f>
        <v>7.1948244345733032</v>
      </c>
      <c r="G27" s="46">
        <f>'M&amp;M PROJECT 3 Statement'!G10/'M&amp;M PROJECT 3 Statement'!G66</f>
        <v>7.4811594327631301</v>
      </c>
      <c r="H27" s="46">
        <f>'M&amp;M PROJECT 3 Statement'!H10/'M&amp;M PROJECT 3 Statement'!H66</f>
        <v>7.8309659223655785</v>
      </c>
      <c r="I27" s="38"/>
      <c r="J27" s="46">
        <f>AVERAGE(C27:H27)</f>
        <v>7.4653103445422353</v>
      </c>
      <c r="K27" s="46">
        <f>MEDIAN(C27:H27)</f>
        <v>7.6030140795548462</v>
      </c>
    </row>
    <row r="28" spans="2:11" ht="14.25" customHeight="1" x14ac:dyDescent="0.3">
      <c r="B28" s="1" t="s">
        <v>94</v>
      </c>
      <c r="C28" s="46">
        <f>'M&amp;M PROJECT 3 Statement'!C10/'M&amp;M PROJECT 3 Statement'!C59</f>
        <v>2.5390294203932933</v>
      </c>
      <c r="D28" s="46">
        <f>'M&amp;M PROJECT 3 Statement'!D10/'M&amp;M PROJECT 3 Statement'!D59</f>
        <v>3.4742231876248848</v>
      </c>
      <c r="E28" s="46">
        <f>'M&amp;M PROJECT 3 Statement'!E10/'M&amp;M PROJECT 3 Statement'!E59</f>
        <v>3.4656342470297083</v>
      </c>
      <c r="F28" s="46">
        <f>'M&amp;M PROJECT 3 Statement'!F10/'M&amp;M PROJECT 3 Statement'!F59</f>
        <v>4.4682623200164482</v>
      </c>
      <c r="G28" s="46">
        <f>'M&amp;M PROJECT 3 Statement'!G10/'M&amp;M PROJECT 3 Statement'!G59</f>
        <v>4.944229900307187</v>
      </c>
      <c r="H28" s="46">
        <f>'M&amp;M PROJECT 3 Statement'!H10/'M&amp;M PROJECT 3 Statement'!H59</f>
        <v>4.5966383303557308</v>
      </c>
      <c r="I28" s="38"/>
      <c r="J28" s="46">
        <f>AVERAGE(C28:H28)</f>
        <v>3.9146695676212087</v>
      </c>
      <c r="K28" s="46">
        <f>MEDIAN(C28:H28)</f>
        <v>3.9712427538206665</v>
      </c>
    </row>
    <row r="29" spans="2:11" ht="14.25" customHeight="1" x14ac:dyDescent="0.3">
      <c r="B29" s="39" t="s">
        <v>93</v>
      </c>
      <c r="C29" s="45">
        <f>('M&amp;M PROJECT 3 Statement'!C10)/(SUM('M&amp;M PROJECT 3 Statement'!C53:C54))</f>
        <v>1.8859952798784867</v>
      </c>
      <c r="D29" s="45">
        <f>('M&amp;M PROJECT 3 Statement'!D10)/(SUM('M&amp;M PROJECT 3 Statement'!D53:D54))</f>
        <v>1.7862999111152156</v>
      </c>
      <c r="E29" s="45">
        <f>('M&amp;M PROJECT 3 Statement'!E10)/(SUM('M&amp;M PROJECT 3 Statement'!E53:E54))</f>
        <v>1.9135296749078576</v>
      </c>
      <c r="F29" s="45">
        <f>('M&amp;M PROJECT 3 Statement'!F10)/(SUM('M&amp;M PROJECT 3 Statement'!F53:F54))</f>
        <v>2.1514565838605297</v>
      </c>
      <c r="G29" s="45">
        <f>('M&amp;M PROJECT 3 Statement'!G10)/(SUM('M&amp;M PROJECT 3 Statement'!G53:G54))</f>
        <v>2.1011801533602603</v>
      </c>
      <c r="H29" s="45">
        <f>('M&amp;M PROJECT 3 Statement'!H10)/(SUM('M&amp;M PROJECT 3 Statement'!H53:H54))</f>
        <v>2.0666300098417865</v>
      </c>
      <c r="I29" s="38"/>
      <c r="J29" s="45">
        <f>AVERAGE(C29:H29)</f>
        <v>1.9841819354940229</v>
      </c>
      <c r="K29" s="45">
        <f>MEDIAN(C29:H29)</f>
        <v>1.9900798423748221</v>
      </c>
    </row>
    <row r="30" spans="2:11" ht="14.25" customHeight="1" x14ac:dyDescent="0.3">
      <c r="I30" s="38"/>
    </row>
    <row r="31" spans="2:11" ht="14.25" customHeight="1" x14ac:dyDescent="0.3">
      <c r="B31" s="41" t="s">
        <v>92</v>
      </c>
      <c r="C31" s="44">
        <f>365/C25</f>
        <v>33.546795631260707</v>
      </c>
      <c r="D31" s="44">
        <f>365/D25</f>
        <v>29.522050874433781</v>
      </c>
      <c r="E31" s="44">
        <f>365/E25</f>
        <v>25.801009686419857</v>
      </c>
      <c r="F31" s="44">
        <f>365/F25</f>
        <v>21.153277581038118</v>
      </c>
      <c r="G31" s="44">
        <f>365/G25</f>
        <v>19.576609631396767</v>
      </c>
      <c r="H31" s="44">
        <f>365/H25</f>
        <v>18.981690440385897</v>
      </c>
      <c r="I31" s="38"/>
      <c r="J31" s="44">
        <f>AVERAGE(C31:H31)</f>
        <v>24.763572307489188</v>
      </c>
      <c r="K31" s="44">
        <f>MEDIAN(C31:H31)</f>
        <v>23.477143633728986</v>
      </c>
    </row>
    <row r="32" spans="2:11" ht="14.25" customHeight="1" x14ac:dyDescent="0.3">
      <c r="B32" s="1" t="s">
        <v>91</v>
      </c>
      <c r="C32" s="43">
        <f>365/C26</f>
        <v>211.37568512772228</v>
      </c>
      <c r="D32" s="43">
        <f>365/D26</f>
        <v>210.12982213523347</v>
      </c>
      <c r="E32" s="43">
        <f>365/E26</f>
        <v>192.92473808250296</v>
      </c>
      <c r="F32" s="43">
        <f>365/F26</f>
        <v>167.55975766181751</v>
      </c>
      <c r="G32" s="43">
        <f>365/G26</f>
        <v>157.1606987921262</v>
      </c>
      <c r="H32" s="43">
        <f>365/H26</f>
        <v>160.36377301492448</v>
      </c>
      <c r="I32" s="38"/>
      <c r="J32" s="43">
        <f>AVERAGE(C32:H32)</f>
        <v>183.25241246905446</v>
      </c>
      <c r="K32" s="43">
        <f>MEDIAN(C32:H32)</f>
        <v>180.24224787216025</v>
      </c>
    </row>
    <row r="33" spans="2:11" ht="14.25" customHeight="1" x14ac:dyDescent="0.3">
      <c r="B33" s="1" t="s">
        <v>90</v>
      </c>
      <c r="C33" s="43">
        <f>365/C27</f>
        <v>53.803728559351036</v>
      </c>
      <c r="D33" s="43">
        <f>365/D27</f>
        <v>47.249993874345734</v>
      </c>
      <c r="E33" s="43">
        <f>365/E27</f>
        <v>46.938533270888712</v>
      </c>
      <c r="F33" s="43">
        <f>365/F27</f>
        <v>50.730911270894232</v>
      </c>
      <c r="G33" s="43">
        <f>365/G27</f>
        <v>48.789228899669233</v>
      </c>
      <c r="H33" s="43">
        <f>365/H27</f>
        <v>46.609831228807181</v>
      </c>
      <c r="I33" s="38"/>
      <c r="J33" s="43">
        <f>AVERAGE(C33:H33)</f>
        <v>49.020371183992694</v>
      </c>
      <c r="K33" s="43">
        <f>MEDIAN(C33:H33)</f>
        <v>48.019611387007487</v>
      </c>
    </row>
    <row r="34" spans="2:11" ht="14.25" customHeight="1" x14ac:dyDescent="0.3">
      <c r="B34" s="39" t="s">
        <v>89</v>
      </c>
      <c r="C34" s="42">
        <f>SUM(C31,C33)-C32</f>
        <v>-124.02516093711054</v>
      </c>
      <c r="D34" s="42">
        <f>SUM(D31,D33)-D32</f>
        <v>-133.35777738645396</v>
      </c>
      <c r="E34" s="42">
        <f>SUM(E31,E33)-E32</f>
        <v>-120.18519512519438</v>
      </c>
      <c r="F34" s="42">
        <f>SUM(F31,F33)-F32</f>
        <v>-95.675568809885164</v>
      </c>
      <c r="G34" s="42">
        <f>SUM(G31,G33)-G32</f>
        <v>-88.794860261060194</v>
      </c>
      <c r="H34" s="42">
        <f>SUM(H31,H33)-H32</f>
        <v>-94.772251345731405</v>
      </c>
      <c r="I34" s="38"/>
      <c r="J34" s="42">
        <f>AVERAGE(C34:H34)</f>
        <v>-109.46846897757261</v>
      </c>
      <c r="K34" s="42">
        <f>MEDIAN(C34:H34)</f>
        <v>-107.93038196753977</v>
      </c>
    </row>
    <row r="35" spans="2:11" ht="14.25" customHeight="1" x14ac:dyDescent="0.3">
      <c r="I35" s="38"/>
    </row>
    <row r="36" spans="2:11" ht="14.25" customHeight="1" x14ac:dyDescent="0.3">
      <c r="B36" s="41" t="s">
        <v>88</v>
      </c>
      <c r="C36" s="40">
        <f>'M&amp;M PROJECT 3 Statement'!C84/'M&amp;M PROJECT 3 Statement'!C10</f>
        <v>-1.9328239539635032E-2</v>
      </c>
      <c r="D36" s="40">
        <f>'M&amp;M PROJECT 3 Statement'!D84/'M&amp;M PROJECT 3 Statement'!D10</f>
        <v>0.24110844454424998</v>
      </c>
      <c r="E36" s="40">
        <f>'M&amp;M PROJECT 3 Statement'!E84/'M&amp;M PROJECT 3 Statement'!E10</f>
        <v>0.10256117932935324</v>
      </c>
      <c r="F36" s="40">
        <f>'M&amp;M PROJECT 3 Statement'!F84/'M&amp;M PROJECT 3 Statement'!F10</f>
        <v>-5.8333343641034707E-2</v>
      </c>
      <c r="G36" s="40">
        <f>'M&amp;M PROJECT 3 Statement'!G84/'M&amp;M PROJECT 3 Statement'!G10</f>
        <v>-4.0480802644438992E-2</v>
      </c>
      <c r="H36" s="40">
        <f>'M&amp;M PROJECT 3 Statement'!H84/'M&amp;M PROJECT 3 Statement'!H10</f>
        <v>1.9948392954699936E-2</v>
      </c>
      <c r="I36" s="38"/>
      <c r="J36" s="40">
        <f>AVERAGE(C36:H36)</f>
        <v>4.0912605167199072E-2</v>
      </c>
      <c r="K36" s="40">
        <f>MEDIAN(C36:H36)</f>
        <v>3.1007670753245217E-4</v>
      </c>
    </row>
    <row r="37" spans="2:11" ht="14.25" customHeight="1" x14ac:dyDescent="0.3">
      <c r="B37" s="1" t="s">
        <v>87</v>
      </c>
      <c r="C37" s="22">
        <f>'M&amp;M PROJECT 3 Statement'!C84/'M&amp;M PROJECT 3 Statement'!C70</f>
        <v>-8.7921435288164165E-3</v>
      </c>
      <c r="D37" s="22">
        <f>'M&amp;M PROJECT 3 Statement'!D84/'M&amp;M PROJECT 3 Statement'!D70</f>
        <v>0.10856023092432346</v>
      </c>
      <c r="E37" s="22">
        <f>'M&amp;M PROJECT 3 Statement'!E84/'M&amp;M PROJECT 3 Statement'!E70</f>
        <v>5.3646273019735832E-2</v>
      </c>
      <c r="F37" s="22">
        <f>'M&amp;M PROJECT 3 Statement'!F84/'M&amp;M PROJECT 3 Statement'!F70</f>
        <v>-3.4628410089467494E-2</v>
      </c>
      <c r="G37" s="22">
        <f>'M&amp;M PROJECT 3 Statement'!G84/'M&amp;M PROJECT 3 Statement'!G70</f>
        <v>-2.3985848094002712E-2</v>
      </c>
      <c r="H37" s="22">
        <f>'M&amp;M PROJECT 3 Statement'!H84/'M&amp;M PROJECT 3 Statement'!H70</f>
        <v>1.1506697724123008E-2</v>
      </c>
      <c r="I37" s="38"/>
      <c r="J37" s="22">
        <f>AVERAGE(C37:H37)</f>
        <v>1.7717799992649278E-2</v>
      </c>
      <c r="K37" s="22">
        <f>MEDIAN(C37:H37)</f>
        <v>1.3572770976532957E-3</v>
      </c>
    </row>
    <row r="38" spans="2:11" ht="14.25" customHeight="1" x14ac:dyDescent="0.3">
      <c r="B38" s="39" t="s">
        <v>86</v>
      </c>
      <c r="C38" s="37">
        <f>'M&amp;M PROJECT 3 Statement'!C84/'M&amp;M PROJECT 3 Statement'!C55</f>
        <v>-1.7748319330392576E-2</v>
      </c>
      <c r="D38" s="37">
        <f>'M&amp;M PROJECT 3 Statement'!D84/'M&amp;M PROJECT 3 Statement'!D55</f>
        <v>0.22212760014501737</v>
      </c>
      <c r="E38" s="37">
        <f>'M&amp;M PROJECT 3 Statement'!E84/'M&amp;M PROJECT 3 Statement'!E55</f>
        <v>0.11916725694061003</v>
      </c>
      <c r="F38" s="37">
        <f>'M&amp;M PROJECT 3 Statement'!F84/'M&amp;M PROJECT 3 Statement'!F55</f>
        <v>-7.6685545360085455E-2</v>
      </c>
      <c r="G38" s="37">
        <f>'M&amp;M PROJECT 3 Statement'!G84/'M&amp;M PROJECT 3 Statement'!G55</f>
        <v>-5.1819075034112691E-2</v>
      </c>
      <c r="H38" s="37">
        <f>'M&amp;M PROJECT 3 Statement'!H84/'M&amp;M PROJECT 3 Statement'!H55</f>
        <v>2.4615464743229544E-2</v>
      </c>
      <c r="I38" s="38"/>
      <c r="J38" s="37">
        <f>AVERAGE(C38:H38)</f>
        <v>3.6609563684044368E-2</v>
      </c>
      <c r="K38" s="37">
        <f>MEDIAN(C38:H38)</f>
        <v>3.4335727064184855E-3</v>
      </c>
    </row>
  </sheetData>
  <mergeCells count="1">
    <mergeCell ref="B2:K2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A4D1B2D3-E0D2-464D-9E95-838EDA3099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Analysis'!D5:H5</xm:f>
              <xm:sqref>I5</xm:sqref>
            </x14:sparkline>
            <x14:sparkline>
              <xm:f>'Ratio Analysis'!D6:H6</xm:f>
              <xm:sqref>I6</xm:sqref>
            </x14:sparkline>
            <x14:sparkline>
              <xm:f>'Ratio Analysis'!D7:H7</xm:f>
              <xm:sqref>I7</xm:sqref>
            </x14:sparkline>
            <x14:sparkline>
              <xm:f>'Ratio Analysis'!D8:H8</xm:f>
              <xm:sqref>I8</xm:sqref>
            </x14:sparkline>
            <x14:sparkline>
              <xm:f>'Ratio Analysis'!D9:H9</xm:f>
              <xm:sqref>I9</xm:sqref>
            </x14:sparkline>
            <x14:sparkline>
              <xm:f>'Ratio Analysis'!D10:H10</xm:f>
              <xm:sqref>I10</xm:sqref>
            </x14:sparkline>
            <x14:sparkline>
              <xm:f>'Ratio Analysis'!D11:H11</xm:f>
              <xm:sqref>I11</xm:sqref>
            </x14:sparkline>
            <x14:sparkline>
              <xm:f>'Ratio Analysis'!D12:H12</xm:f>
              <xm:sqref>I12</xm:sqref>
            </x14:sparkline>
            <x14:sparkline>
              <xm:f>'Ratio Analysis'!D13:H13</xm:f>
              <xm:sqref>I13</xm:sqref>
            </x14:sparkline>
            <x14:sparkline>
              <xm:f>'Ratio Analysis'!D14:H14</xm:f>
              <xm:sqref>I14</xm:sqref>
            </x14:sparkline>
            <x14:sparkline>
              <xm:f>'Ratio Analysis'!D15:H15</xm:f>
              <xm:sqref>I15</xm:sqref>
            </x14:sparkline>
            <x14:sparkline>
              <xm:f>'Ratio Analysis'!D16:H16</xm:f>
              <xm:sqref>I16</xm:sqref>
            </x14:sparkline>
            <x14:sparkline>
              <xm:f>'Ratio Analysis'!D17:H17</xm:f>
              <xm:sqref>I17</xm:sqref>
            </x14:sparkline>
            <x14:sparkline>
              <xm:f>'Ratio Analysis'!D18:H18</xm:f>
              <xm:sqref>I18</xm:sqref>
            </x14:sparkline>
            <x14:sparkline>
              <xm:f>'Ratio Analysis'!D19:H19</xm:f>
              <xm:sqref>I19</xm:sqref>
            </x14:sparkline>
            <x14:sparkline>
              <xm:f>'Ratio Analysis'!D20:H20</xm:f>
              <xm:sqref>I20</xm:sqref>
            </x14:sparkline>
            <x14:sparkline>
              <xm:f>'Ratio Analysis'!D21:H21</xm:f>
              <xm:sqref>I21</xm:sqref>
            </x14:sparkline>
            <x14:sparkline>
              <xm:f>'Ratio Analysis'!D22:H22</xm:f>
              <xm:sqref>I22</xm:sqref>
            </x14:sparkline>
            <x14:sparkline>
              <xm:f>'Ratio Analysis'!D23:H23</xm:f>
              <xm:sqref>I23</xm:sqref>
            </x14:sparkline>
            <x14:sparkline>
              <xm:f>'Ratio Analysis'!D24:H24</xm:f>
              <xm:sqref>I24</xm:sqref>
            </x14:sparkline>
            <x14:sparkline>
              <xm:f>'Ratio Analysis'!D25:H25</xm:f>
              <xm:sqref>I25</xm:sqref>
            </x14:sparkline>
            <x14:sparkline>
              <xm:f>'Ratio Analysis'!D26:H26</xm:f>
              <xm:sqref>I26</xm:sqref>
            </x14:sparkline>
            <x14:sparkline>
              <xm:f>'Ratio Analysis'!D27:H27</xm:f>
              <xm:sqref>I27</xm:sqref>
            </x14:sparkline>
            <x14:sparkline>
              <xm:f>'Ratio Analysis'!D28:H28</xm:f>
              <xm:sqref>I28</xm:sqref>
            </x14:sparkline>
            <x14:sparkline>
              <xm:f>'Ratio Analysis'!D29:H29</xm:f>
              <xm:sqref>I29</xm:sqref>
            </x14:sparkline>
            <x14:sparkline>
              <xm:f>'Ratio Analysis'!D30:H30</xm:f>
              <xm:sqref>I30</xm:sqref>
            </x14:sparkline>
            <x14:sparkline>
              <xm:f>'Ratio Analysis'!D31:H31</xm:f>
              <xm:sqref>I31</xm:sqref>
            </x14:sparkline>
            <x14:sparkline>
              <xm:f>'Ratio Analysis'!D32:H32</xm:f>
              <xm:sqref>I32</xm:sqref>
            </x14:sparkline>
            <x14:sparkline>
              <xm:f>'Ratio Analysis'!D33:H33</xm:f>
              <xm:sqref>I33</xm:sqref>
            </x14:sparkline>
            <x14:sparkline>
              <xm:f>'Ratio Analysis'!D34:H34</xm:f>
              <xm:sqref>I34</xm:sqref>
            </x14:sparkline>
            <x14:sparkline>
              <xm:f>'Ratio Analysis'!D35:H35</xm:f>
              <xm:sqref>I35</xm:sqref>
            </x14:sparkline>
            <x14:sparkline>
              <xm:f>'Ratio Analysis'!D36:H36</xm:f>
              <xm:sqref>I36</xm:sqref>
            </x14:sparkline>
            <x14:sparkline>
              <xm:f>'Ratio Analysis'!D37:H37</xm:f>
              <xm:sqref>I37</xm:sqref>
            </x14:sparkline>
            <x14:sparkline>
              <xm:f>'Ratio Analysis'!D38:H38</xm:f>
              <xm:sqref>I38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6B52-8C6E-4B23-80A9-94A2BFD4880B}">
  <dimension ref="B1:J44"/>
  <sheetViews>
    <sheetView showGridLines="0" zoomScaleNormal="100" workbookViewId="0">
      <selection activeCell="F9" sqref="F9"/>
    </sheetView>
  </sheetViews>
  <sheetFormatPr defaultColWidth="8.6640625" defaultRowHeight="14.4" x14ac:dyDescent="0.3"/>
  <cols>
    <col min="1" max="1" width="1.88671875" style="1" customWidth="1"/>
    <col min="2" max="2" width="21.6640625" style="1" customWidth="1"/>
    <col min="3" max="3" width="7.44140625" style="1" customWidth="1"/>
    <col min="4" max="4" width="12.88671875" style="1" customWidth="1"/>
    <col min="5" max="5" width="11.109375" style="1" customWidth="1"/>
    <col min="6" max="6" width="8.6640625" style="1"/>
    <col min="7" max="7" width="11.6640625" style="1" customWidth="1"/>
    <col min="8" max="8" width="13" style="1" customWidth="1"/>
    <col min="9" max="9" width="10.5546875" style="1" customWidth="1"/>
    <col min="10" max="10" width="11.21875" style="1" customWidth="1"/>
    <col min="11" max="16384" width="8.6640625" style="1"/>
  </cols>
  <sheetData>
    <row r="1" spans="2:10" ht="14.25" customHeight="1" x14ac:dyDescent="0.3">
      <c r="B1" s="88"/>
      <c r="C1" s="88"/>
      <c r="D1" s="88"/>
      <c r="E1" s="88"/>
      <c r="F1" s="88"/>
      <c r="G1" s="88"/>
      <c r="H1" s="88"/>
      <c r="I1" s="88"/>
      <c r="J1" s="88"/>
    </row>
    <row r="2" spans="2:10" ht="14.25" customHeight="1" x14ac:dyDescent="0.3">
      <c r="B2" s="88" t="s">
        <v>81</v>
      </c>
      <c r="C2" s="88"/>
      <c r="D2" s="88"/>
      <c r="E2" s="88"/>
      <c r="F2" s="88"/>
      <c r="G2" s="88"/>
      <c r="H2" s="88"/>
      <c r="I2" s="88"/>
      <c r="J2" s="88"/>
    </row>
    <row r="3" spans="2:10" ht="14.25" customHeight="1" x14ac:dyDescent="0.3">
      <c r="B3" s="89"/>
      <c r="C3" s="88"/>
      <c r="D3" s="88"/>
      <c r="E3" s="88"/>
      <c r="F3" s="88"/>
      <c r="G3" s="88"/>
      <c r="H3" s="88"/>
      <c r="I3" s="88"/>
      <c r="J3" s="88"/>
    </row>
    <row r="5" spans="2:10" ht="15" customHeight="1" x14ac:dyDescent="0.3">
      <c r="B5" s="87" t="s">
        <v>117</v>
      </c>
      <c r="C5" s="87"/>
      <c r="D5" s="87"/>
      <c r="E5" s="87"/>
      <c r="F5" s="87"/>
      <c r="G5" s="87"/>
      <c r="H5" s="87"/>
      <c r="I5" s="87"/>
      <c r="J5" s="87"/>
    </row>
    <row r="6" spans="2:10" ht="15" customHeight="1" x14ac:dyDescent="0.3"/>
    <row r="7" spans="2:10" ht="15" customHeight="1" x14ac:dyDescent="0.3">
      <c r="B7" s="86" t="s">
        <v>165</v>
      </c>
    </row>
    <row r="8" spans="2:10" ht="15" customHeight="1" x14ac:dyDescent="0.3">
      <c r="B8" s="85"/>
    </row>
    <row r="9" spans="2:10" ht="15" customHeight="1" x14ac:dyDescent="0.3"/>
    <row r="10" spans="2:10" ht="14.25" customHeight="1" x14ac:dyDescent="0.3">
      <c r="B10" s="1" t="s">
        <v>164</v>
      </c>
    </row>
    <row r="11" spans="2:10" ht="14.25" customHeight="1" x14ac:dyDescent="0.3">
      <c r="B11" s="84"/>
      <c r="C11" s="84"/>
      <c r="D11" s="84"/>
      <c r="E11" s="84"/>
      <c r="F11" s="84"/>
      <c r="G11" s="84" t="s">
        <v>163</v>
      </c>
      <c r="H11" s="84" t="s">
        <v>162</v>
      </c>
      <c r="I11" s="84" t="s">
        <v>161</v>
      </c>
      <c r="J11" s="84" t="s">
        <v>160</v>
      </c>
    </row>
    <row r="12" spans="2:10" ht="15.75" customHeight="1" x14ac:dyDescent="0.3">
      <c r="B12" s="56" t="s">
        <v>159</v>
      </c>
      <c r="C12" s="56" t="s">
        <v>158</v>
      </c>
      <c r="D12" s="56" t="s">
        <v>132</v>
      </c>
      <c r="E12" s="56" t="s">
        <v>157</v>
      </c>
      <c r="F12" s="56" t="s">
        <v>156</v>
      </c>
      <c r="G12" s="56" t="s">
        <v>155</v>
      </c>
      <c r="H12" s="56" t="s">
        <v>154</v>
      </c>
      <c r="I12" s="56" t="s">
        <v>153</v>
      </c>
      <c r="J12" s="56" t="s">
        <v>152</v>
      </c>
    </row>
    <row r="14" spans="2:10" ht="14.25" customHeight="1" x14ac:dyDescent="0.3">
      <c r="B14" s="83" t="s">
        <v>151</v>
      </c>
      <c r="C14" s="79" t="s">
        <v>146</v>
      </c>
      <c r="D14" s="82">
        <v>8608</v>
      </c>
      <c r="E14" s="82">
        <v>33442</v>
      </c>
      <c r="F14" s="77">
        <v>0.25169999999999998</v>
      </c>
      <c r="G14" s="76">
        <f>D14/E14</f>
        <v>0.2574008731535195</v>
      </c>
      <c r="H14" s="76">
        <f>D14/(D14+E14)</f>
        <v>0.20470868014268728</v>
      </c>
      <c r="I14" s="81">
        <v>1.1499999999999999</v>
      </c>
      <c r="J14" s="68">
        <f>(I14/(1+(1-F14)*G14))</f>
        <v>0.96426915457166618</v>
      </c>
    </row>
    <row r="15" spans="2:10" ht="14.25" customHeight="1" x14ac:dyDescent="0.3">
      <c r="B15" s="80" t="s">
        <v>150</v>
      </c>
      <c r="C15" s="79" t="s">
        <v>146</v>
      </c>
      <c r="D15" s="78">
        <v>33.1</v>
      </c>
      <c r="E15" s="78">
        <v>94046.7</v>
      </c>
      <c r="F15" s="77">
        <v>0.25169999999999998</v>
      </c>
      <c r="G15" s="76">
        <f>D15/E15</f>
        <v>3.5195280642489317E-4</v>
      </c>
      <c r="H15" s="76">
        <f>D15/(D15+E15)</f>
        <v>3.5182897922827219E-4</v>
      </c>
      <c r="I15" s="75">
        <v>0.85</v>
      </c>
      <c r="J15" s="68">
        <f>(I15/(1+(1-F15)*G15))</f>
        <v>0.84977619759971612</v>
      </c>
    </row>
    <row r="16" spans="2:10" ht="14.25" customHeight="1" x14ac:dyDescent="0.3">
      <c r="B16" s="80" t="s">
        <v>149</v>
      </c>
      <c r="C16" s="79" t="s">
        <v>146</v>
      </c>
      <c r="D16" s="78">
        <v>784</v>
      </c>
      <c r="E16" s="78">
        <v>30400</v>
      </c>
      <c r="F16" s="77">
        <v>0.25169999999999998</v>
      </c>
      <c r="G16" s="76">
        <f>D16/E16</f>
        <v>2.5789473684210525E-2</v>
      </c>
      <c r="H16" s="76">
        <f>D16/(D16+E16)</f>
        <v>2.5141097998973832E-2</v>
      </c>
      <c r="I16" s="75">
        <v>0.88</v>
      </c>
      <c r="J16" s="68">
        <f>(I16/(1+(1-F16)*G16))</f>
        <v>0.86333905570845004</v>
      </c>
    </row>
    <row r="17" spans="2:10" ht="14.25" customHeight="1" x14ac:dyDescent="0.3">
      <c r="B17" s="80" t="s">
        <v>148</v>
      </c>
      <c r="C17" s="79" t="s">
        <v>146</v>
      </c>
      <c r="D17" s="78">
        <v>699.9</v>
      </c>
      <c r="E17" s="78">
        <v>19272</v>
      </c>
      <c r="F17" s="77">
        <v>0.25169999999999998</v>
      </c>
      <c r="G17" s="76">
        <f>D17/E17</f>
        <v>3.6316936488169367E-2</v>
      </c>
      <c r="H17" s="76">
        <f>D17/(D17+E17)</f>
        <v>3.5044237153200243E-2</v>
      </c>
      <c r="I17" s="75">
        <v>0.72</v>
      </c>
      <c r="J17" s="68">
        <f>(I17/(1+(1-F17)*G17))</f>
        <v>0.70095098165530767</v>
      </c>
    </row>
    <row r="18" spans="2:10" ht="14.25" customHeight="1" x14ac:dyDescent="0.3">
      <c r="B18" s="80" t="s">
        <v>147</v>
      </c>
      <c r="C18" s="79" t="s">
        <v>146</v>
      </c>
      <c r="D18" s="78">
        <v>266.5</v>
      </c>
      <c r="E18" s="78">
        <v>21296.5</v>
      </c>
      <c r="F18" s="77">
        <v>0.25169999999999998</v>
      </c>
      <c r="G18" s="76">
        <f>D18/E18</f>
        <v>1.2513793346324513E-2</v>
      </c>
      <c r="H18" s="76">
        <f>D18/(D18+E18)</f>
        <v>1.2359133701247508E-2</v>
      </c>
      <c r="I18" s="75">
        <v>0.78</v>
      </c>
      <c r="J18" s="68">
        <f>(I18/(1+(1-F18)*G18))</f>
        <v>0.77276378462101747</v>
      </c>
    </row>
    <row r="20" spans="2:10" ht="14.25" customHeight="1" x14ac:dyDescent="0.3">
      <c r="E20" s="6" t="s">
        <v>145</v>
      </c>
      <c r="F20" s="74">
        <f>AVERAGE(F14:F18)</f>
        <v>0.25169999999999998</v>
      </c>
      <c r="G20" s="73">
        <f>AVERAGE(G14:G18)</f>
        <v>6.647460589572976E-2</v>
      </c>
      <c r="H20" s="73">
        <f>AVERAGE(H14:H18)</f>
        <v>5.5520995595067436E-2</v>
      </c>
      <c r="I20" s="72">
        <f>AVERAGE(I14:I18)</f>
        <v>0.876</v>
      </c>
      <c r="J20" s="72">
        <f>AVERAGE(J14:J18)</f>
        <v>0.83021983483123152</v>
      </c>
    </row>
    <row r="21" spans="2:10" ht="14.25" customHeight="1" x14ac:dyDescent="0.3">
      <c r="E21" s="36" t="s">
        <v>113</v>
      </c>
      <c r="F21" s="71">
        <f>MEDIAN(F14:F18)</f>
        <v>0.25169999999999998</v>
      </c>
      <c r="G21" s="70">
        <f>MEDIAN(G14:G18)</f>
        <v>2.5789473684210525E-2</v>
      </c>
      <c r="H21" s="70">
        <f>MEDIAN(H14:H18)</f>
        <v>2.5141097998973832E-2</v>
      </c>
      <c r="I21" s="69">
        <f>MEDIAN(I14:I18)</f>
        <v>0.85</v>
      </c>
      <c r="J21" s="69">
        <f>MEDIAN(J14:J18)</f>
        <v>0.84977619759971612</v>
      </c>
    </row>
    <row r="24" spans="2:10" ht="14.25" customHeight="1" x14ac:dyDescent="0.3">
      <c r="B24" s="36" t="s">
        <v>144</v>
      </c>
      <c r="C24" s="56"/>
      <c r="D24" s="56"/>
      <c r="E24" s="56"/>
      <c r="G24" s="36" t="s">
        <v>138</v>
      </c>
      <c r="H24" s="56"/>
      <c r="I24" s="56"/>
      <c r="J24" s="56"/>
    </row>
    <row r="25" spans="2:10" ht="14.25" customHeight="1" x14ac:dyDescent="0.3">
      <c r="B25" s="55"/>
      <c r="G25" s="55"/>
    </row>
    <row r="26" spans="2:10" ht="14.25" customHeight="1" x14ac:dyDescent="0.3">
      <c r="B26" s="1" t="s">
        <v>143</v>
      </c>
      <c r="E26" s="61">
        <v>7.4999999999999997E-2</v>
      </c>
      <c r="G26" s="1" t="s">
        <v>142</v>
      </c>
      <c r="J26" s="61">
        <v>6.8500000000000005E-2</v>
      </c>
    </row>
    <row r="27" spans="2:10" ht="14.25" customHeight="1" x14ac:dyDescent="0.3">
      <c r="B27" s="1" t="s">
        <v>129</v>
      </c>
      <c r="E27" s="61">
        <v>0.25169999999999998</v>
      </c>
      <c r="G27" s="1" t="s">
        <v>141</v>
      </c>
      <c r="J27" s="61">
        <v>5.5E-2</v>
      </c>
    </row>
    <row r="28" spans="2:10" ht="15.75" customHeight="1" x14ac:dyDescent="0.3">
      <c r="B28" s="41" t="s">
        <v>140</v>
      </c>
      <c r="C28" s="41"/>
      <c r="D28" s="41"/>
      <c r="E28" s="67">
        <f>E26*(1-E27)</f>
        <v>5.6122499999999999E-2</v>
      </c>
      <c r="G28" s="1" t="s">
        <v>139</v>
      </c>
      <c r="J28" s="68">
        <f>J37</f>
        <v>0.85173046053714341</v>
      </c>
    </row>
    <row r="29" spans="2:10" ht="14.25" customHeight="1" x14ac:dyDescent="0.3">
      <c r="G29" s="41" t="s">
        <v>138</v>
      </c>
      <c r="H29" s="41"/>
      <c r="I29" s="41"/>
      <c r="J29" s="67">
        <f>J26+J28*J27</f>
        <v>0.11534517532954289</v>
      </c>
    </row>
    <row r="30" spans="2:10" ht="14.25" customHeight="1" x14ac:dyDescent="0.3"/>
    <row r="31" spans="2:10" ht="14.25" customHeight="1" x14ac:dyDescent="0.3"/>
    <row r="32" spans="2:10" ht="14.25" customHeight="1" x14ac:dyDescent="0.3">
      <c r="B32" s="36" t="s">
        <v>137</v>
      </c>
      <c r="C32" s="56"/>
      <c r="D32" s="56"/>
      <c r="E32" s="56"/>
      <c r="G32" s="36" t="s">
        <v>136</v>
      </c>
      <c r="H32" s="56"/>
      <c r="I32" s="56"/>
      <c r="J32" s="56"/>
    </row>
    <row r="33" spans="2:10" ht="14.25" customHeight="1" x14ac:dyDescent="0.3">
      <c r="G33" s="7"/>
    </row>
    <row r="34" spans="2:10" ht="14.25" customHeight="1" x14ac:dyDescent="0.3">
      <c r="D34" s="66" t="s">
        <v>135</v>
      </c>
      <c r="E34" s="66" t="s">
        <v>134</v>
      </c>
      <c r="G34" s="55" t="s">
        <v>133</v>
      </c>
      <c r="J34" s="55">
        <f>J21</f>
        <v>0.84977619759971612</v>
      </c>
    </row>
    <row r="35" spans="2:10" ht="14.25" customHeight="1" x14ac:dyDescent="0.3">
      <c r="B35" s="1" t="s">
        <v>132</v>
      </c>
      <c r="C35" s="63"/>
      <c r="D35" s="65">
        <v>1135.05</v>
      </c>
      <c r="E35" s="65">
        <v>1135.05</v>
      </c>
      <c r="G35" s="1" t="s">
        <v>131</v>
      </c>
      <c r="J35" s="64">
        <f>E39</f>
        <v>3.07328395248387E-3</v>
      </c>
    </row>
    <row r="36" spans="2:10" ht="14.25" customHeight="1" x14ac:dyDescent="0.3">
      <c r="B36" s="1" t="s">
        <v>130</v>
      </c>
      <c r="C36" s="63"/>
      <c r="D36" s="62">
        <f>'[1]Data Sheet'!B9</f>
        <v>369328.06</v>
      </c>
      <c r="E36" s="62">
        <f>'[1]Data Sheet'!B9</f>
        <v>369328.06</v>
      </c>
      <c r="G36" s="1" t="s">
        <v>129</v>
      </c>
      <c r="J36" s="61">
        <v>0.25169999999999998</v>
      </c>
    </row>
    <row r="37" spans="2:10" ht="14.25" customHeight="1" x14ac:dyDescent="0.3">
      <c r="B37" s="1" t="s">
        <v>128</v>
      </c>
      <c r="C37" s="60"/>
      <c r="D37" s="59">
        <f>D35+D36</f>
        <v>370463.11</v>
      </c>
      <c r="E37" s="59">
        <f>E35+E36</f>
        <v>370463.11</v>
      </c>
      <c r="G37" s="41" t="s">
        <v>127</v>
      </c>
      <c r="H37" s="41"/>
      <c r="I37" s="41"/>
      <c r="J37" s="58">
        <f>J34*(1+(1-J36)*J35)</f>
        <v>0.85173046053714341</v>
      </c>
    </row>
    <row r="38" spans="2:10" ht="14.25" customHeight="1" x14ac:dyDescent="0.3"/>
    <row r="39" spans="2:10" ht="14.25" customHeight="1" x14ac:dyDescent="0.3">
      <c r="B39" s="1" t="s">
        <v>126</v>
      </c>
      <c r="D39" s="57">
        <f>D35/D36</f>
        <v>3.07328395248387E-3</v>
      </c>
      <c r="E39" s="57">
        <f>E35/E36</f>
        <v>3.07328395248387E-3</v>
      </c>
      <c r="G39" s="36" t="s">
        <v>117</v>
      </c>
      <c r="H39" s="56"/>
      <c r="I39" s="56"/>
      <c r="J39" s="56"/>
    </row>
    <row r="40" spans="2:10" ht="14.25" customHeight="1" x14ac:dyDescent="0.3">
      <c r="G40" s="55"/>
    </row>
    <row r="41" spans="2:10" ht="14.25" customHeight="1" x14ac:dyDescent="0.3">
      <c r="B41" s="54" t="s">
        <v>125</v>
      </c>
      <c r="C41" s="53"/>
      <c r="D41" s="53"/>
      <c r="I41" s="37" t="s">
        <v>124</v>
      </c>
      <c r="J41" s="39" t="s">
        <v>123</v>
      </c>
    </row>
    <row r="42" spans="2:10" ht="14.25" customHeight="1" x14ac:dyDescent="0.3">
      <c r="B42" s="52" t="s">
        <v>122</v>
      </c>
      <c r="C42" s="51"/>
      <c r="D42" s="51"/>
      <c r="G42" s="1" t="s">
        <v>121</v>
      </c>
      <c r="H42" s="22">
        <f>D39</f>
        <v>3.07328395248387E-3</v>
      </c>
      <c r="I42" s="22">
        <f>E28</f>
        <v>5.6122499999999999E-2</v>
      </c>
      <c r="J42" s="22">
        <f>H42*I42</f>
        <v>1.7248037862327599E-4</v>
      </c>
    </row>
    <row r="43" spans="2:10" ht="14.25" customHeight="1" x14ac:dyDescent="0.3">
      <c r="B43" s="52" t="s">
        <v>120</v>
      </c>
      <c r="C43" s="51"/>
      <c r="D43" s="51"/>
      <c r="G43" s="1" t="s">
        <v>119</v>
      </c>
      <c r="H43" s="22">
        <f>D36/D37</f>
        <v>0.99693613218330968</v>
      </c>
      <c r="I43" s="22">
        <f>J29</f>
        <v>0.11534517532954289</v>
      </c>
      <c r="J43" s="22">
        <f>H43*I43</f>
        <v>0.1149917729590402</v>
      </c>
    </row>
    <row r="44" spans="2:10" ht="14.25" customHeight="1" x14ac:dyDescent="0.3">
      <c r="B44" s="52" t="s">
        <v>118</v>
      </c>
      <c r="C44" s="51"/>
      <c r="D44" s="51"/>
      <c r="G44" s="41" t="s">
        <v>117</v>
      </c>
      <c r="H44" s="41"/>
      <c r="I44" s="40"/>
      <c r="J44" s="50">
        <f>J43+J42</f>
        <v>0.11516425333766347</v>
      </c>
    </row>
  </sheetData>
  <printOptions horizontalCentered="1"/>
  <pageMargins left="0.70833333333333304" right="0.70833333333333304" top="0.74791666666666701" bottom="0.74791666666666701" header="0.511811023622047" footer="0.511811023622047"/>
  <pageSetup scale="8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FA01-12AD-4A6B-B670-17A95BEEC9AF}">
  <dimension ref="B1:P113"/>
  <sheetViews>
    <sheetView showGridLines="0" zoomScale="90" zoomScaleNormal="90" workbookViewId="0">
      <selection activeCell="K36" sqref="K36"/>
    </sheetView>
  </sheetViews>
  <sheetFormatPr defaultColWidth="8.6640625" defaultRowHeight="14.4" x14ac:dyDescent="0.3"/>
  <cols>
    <col min="1" max="1" width="1.88671875" style="1" customWidth="1"/>
    <col min="2" max="2" width="18.77734375" style="1" customWidth="1"/>
    <col min="3" max="3" width="12.5546875" style="1" customWidth="1"/>
    <col min="4" max="4" width="13.6640625" style="1" customWidth="1"/>
    <col min="5" max="5" width="8.6640625" style="1"/>
    <col min="6" max="6" width="7.77734375" style="1" customWidth="1"/>
    <col min="7" max="7" width="12.5546875" style="1" customWidth="1"/>
    <col min="8" max="8" width="8.88671875" style="1" customWidth="1"/>
    <col min="9" max="9" width="11.33203125" style="1" customWidth="1"/>
    <col min="10" max="10" width="8.6640625" style="1"/>
    <col min="11" max="11" width="10" style="1" customWidth="1"/>
    <col min="12" max="15" width="8.6640625" style="1"/>
    <col min="16" max="16" width="9.33203125" style="1" customWidth="1"/>
    <col min="17" max="16384" width="8.6640625" style="1"/>
  </cols>
  <sheetData>
    <row r="1" spans="2:16" ht="14.25" customHeight="1" x14ac:dyDescent="0.3">
      <c r="B1" s="29" t="s">
        <v>81</v>
      </c>
      <c r="C1" s="29"/>
      <c r="D1" s="29"/>
      <c r="E1" s="29"/>
      <c r="F1" s="29"/>
      <c r="G1" s="29"/>
      <c r="H1" s="29"/>
      <c r="I1" s="29"/>
    </row>
    <row r="2" spans="2:16" ht="14.25" customHeight="1" x14ac:dyDescent="0.3">
      <c r="B2" s="29"/>
      <c r="C2" s="29"/>
      <c r="D2" s="29"/>
      <c r="E2" s="29"/>
      <c r="F2" s="29"/>
      <c r="G2" s="29"/>
      <c r="H2" s="29"/>
      <c r="I2" s="29"/>
    </row>
    <row r="3" spans="2:16" ht="14.25" customHeight="1" x14ac:dyDescent="0.3">
      <c r="B3" s="29"/>
      <c r="C3" s="29"/>
      <c r="D3" s="29"/>
      <c r="E3" s="29"/>
      <c r="F3" s="29"/>
      <c r="G3" s="29"/>
      <c r="H3" s="29"/>
      <c r="I3" s="29"/>
    </row>
    <row r="6" spans="2:16" ht="15" customHeight="1" x14ac:dyDescent="0.3">
      <c r="B6" s="87" t="s">
        <v>283</v>
      </c>
      <c r="C6" s="87"/>
      <c r="D6" s="87"/>
      <c r="G6" s="87" t="s">
        <v>282</v>
      </c>
      <c r="H6" s="87"/>
      <c r="J6" s="87" t="s">
        <v>281</v>
      </c>
      <c r="K6" s="87"/>
      <c r="L6" s="87"/>
    </row>
    <row r="8" spans="2:16" ht="14.25" customHeight="1" x14ac:dyDescent="0.3">
      <c r="B8" s="36" t="s">
        <v>280</v>
      </c>
      <c r="C8" s="36" t="s">
        <v>278</v>
      </c>
      <c r="D8" s="36" t="s">
        <v>279</v>
      </c>
      <c r="G8" s="36" t="s">
        <v>278</v>
      </c>
      <c r="H8" s="36" t="s">
        <v>277</v>
      </c>
      <c r="J8" s="1" t="s">
        <v>276</v>
      </c>
      <c r="L8" s="55">
        <f>P8</f>
        <v>1.7271229744475567</v>
      </c>
      <c r="O8" s="7" t="s">
        <v>275</v>
      </c>
      <c r="P8" s="94">
        <f>SLOPE(D10:D113,H10:H113)</f>
        <v>1.7271229744475567</v>
      </c>
    </row>
    <row r="9" spans="2:16" ht="14.25" customHeight="1" x14ac:dyDescent="0.3">
      <c r="B9" s="1" t="s">
        <v>274</v>
      </c>
      <c r="C9" s="91">
        <v>1236.3800000000001</v>
      </c>
      <c r="G9" s="90">
        <v>17594.349999999999</v>
      </c>
      <c r="J9" s="1" t="s">
        <v>273</v>
      </c>
      <c r="L9" s="22">
        <v>0.75</v>
      </c>
      <c r="O9" s="7"/>
      <c r="P9" s="94"/>
    </row>
    <row r="10" spans="2:16" ht="14.25" customHeight="1" x14ac:dyDescent="0.3">
      <c r="B10" s="1" t="s">
        <v>272</v>
      </c>
      <c r="C10" s="91">
        <v>1195.55</v>
      </c>
      <c r="D10" s="22">
        <f>C10/C9-1</f>
        <v>-3.3023827625810909E-2</v>
      </c>
      <c r="G10" s="90">
        <v>17412.900000000001</v>
      </c>
      <c r="H10" s="22">
        <f>G10/G9-1</f>
        <v>-1.0312969788596749E-2</v>
      </c>
    </row>
    <row r="11" spans="2:16" ht="14.25" customHeight="1" x14ac:dyDescent="0.3">
      <c r="B11" s="1" t="s">
        <v>271</v>
      </c>
      <c r="C11" s="91">
        <v>1141.75</v>
      </c>
      <c r="D11" s="22">
        <f>C11/C10-1</f>
        <v>-4.5000209108778333E-2</v>
      </c>
      <c r="G11" s="90">
        <v>17100.05</v>
      </c>
      <c r="H11" s="22">
        <f>G11/G10-1</f>
        <v>-1.796656501788918E-2</v>
      </c>
      <c r="J11" s="1" t="s">
        <v>270</v>
      </c>
      <c r="L11" s="55">
        <v>1</v>
      </c>
    </row>
    <row r="12" spans="2:16" ht="14.25" customHeight="1" x14ac:dyDescent="0.3">
      <c r="B12" s="1" t="s">
        <v>269</v>
      </c>
      <c r="C12" s="91">
        <v>1121.58</v>
      </c>
      <c r="D12" s="22">
        <f>C12/C11-1</f>
        <v>-1.7665863805561677E-2</v>
      </c>
      <c r="G12" s="90">
        <v>16945.05</v>
      </c>
      <c r="H12" s="22">
        <f>G12/G11-1</f>
        <v>-9.0643009815760678E-3</v>
      </c>
      <c r="J12" s="1" t="s">
        <v>268</v>
      </c>
      <c r="L12" s="22">
        <v>0.25</v>
      </c>
    </row>
    <row r="13" spans="2:16" ht="14.25" customHeight="1" x14ac:dyDescent="0.3">
      <c r="B13" s="1" t="s">
        <v>267</v>
      </c>
      <c r="C13" s="91">
        <v>1129.28</v>
      </c>
      <c r="D13" s="22">
        <f>C13/C12-1</f>
        <v>6.8653150020507869E-3</v>
      </c>
      <c r="G13" s="90">
        <v>17359.75</v>
      </c>
      <c r="H13" s="22">
        <f>G13/G12-1</f>
        <v>2.4473223743807226E-2</v>
      </c>
    </row>
    <row r="14" spans="2:16" ht="14.25" customHeight="1" x14ac:dyDescent="0.3">
      <c r="B14" s="1" t="s">
        <v>266</v>
      </c>
      <c r="C14" s="91">
        <v>1141.51</v>
      </c>
      <c r="D14" s="22">
        <f>C14/C13-1</f>
        <v>1.0829909322754405E-2</v>
      </c>
      <c r="G14" s="90">
        <v>17599.150000000001</v>
      </c>
      <c r="H14" s="22">
        <f>G14/G13-1</f>
        <v>1.3790521176860304E-2</v>
      </c>
      <c r="J14" s="93" t="s">
        <v>265</v>
      </c>
      <c r="K14" s="93"/>
      <c r="L14" s="92">
        <f>(L8*L9)+(L11*L12)</f>
        <v>1.5453422308356675</v>
      </c>
    </row>
    <row r="15" spans="2:16" ht="14.25" customHeight="1" x14ac:dyDescent="0.3">
      <c r="B15" s="1" t="s">
        <v>264</v>
      </c>
      <c r="C15" s="91">
        <v>1173.96</v>
      </c>
      <c r="D15" s="22">
        <f>C15/C14-1</f>
        <v>2.8427258631111396E-2</v>
      </c>
      <c r="G15" s="90">
        <v>17828</v>
      </c>
      <c r="H15" s="22">
        <f>G15/G14-1</f>
        <v>1.3003468917532901E-2</v>
      </c>
    </row>
    <row r="16" spans="2:16" ht="14.25" customHeight="1" x14ac:dyDescent="0.3">
      <c r="B16" s="1" t="s">
        <v>263</v>
      </c>
      <c r="C16" s="91">
        <v>1181.95</v>
      </c>
      <c r="D16" s="22">
        <f>C16/C15-1</f>
        <v>6.8060240553340368E-3</v>
      </c>
      <c r="G16" s="90">
        <v>17624.05</v>
      </c>
      <c r="H16" s="22">
        <f>G16/G15-1</f>
        <v>-1.143986986762402E-2</v>
      </c>
    </row>
    <row r="17" spans="2:8" ht="14.25" customHeight="1" x14ac:dyDescent="0.3">
      <c r="B17" s="1" t="s">
        <v>262</v>
      </c>
      <c r="C17" s="91">
        <v>1195.74</v>
      </c>
      <c r="D17" s="22">
        <f>C17/C16-1</f>
        <v>1.1667160201362048E-2</v>
      </c>
      <c r="G17" s="90">
        <v>18065</v>
      </c>
      <c r="H17" s="22">
        <f>G17/G16-1</f>
        <v>2.5019788300645995E-2</v>
      </c>
    </row>
    <row r="18" spans="2:8" ht="14.25" customHeight="1" x14ac:dyDescent="0.3">
      <c r="B18" s="1" t="s">
        <v>261</v>
      </c>
      <c r="C18" s="91">
        <v>1180.44</v>
      </c>
      <c r="D18" s="22">
        <f>C18/C17-1</f>
        <v>-1.279542375432785E-2</v>
      </c>
      <c r="G18" s="90">
        <v>18069</v>
      </c>
      <c r="H18" s="22">
        <f>G18/G17-1</f>
        <v>2.2142264046509652E-4</v>
      </c>
    </row>
    <row r="19" spans="2:8" ht="14.25" customHeight="1" x14ac:dyDescent="0.3">
      <c r="B19" s="1" t="s">
        <v>260</v>
      </c>
      <c r="C19" s="91">
        <v>1243.55</v>
      </c>
      <c r="D19" s="22">
        <f>C19/C18-1</f>
        <v>5.3463115448476817E-2</v>
      </c>
      <c r="G19" s="90">
        <v>18314.8</v>
      </c>
      <c r="H19" s="22">
        <f>G19/G18-1</f>
        <v>1.3603409153799317E-2</v>
      </c>
    </row>
    <row r="20" spans="2:8" ht="14.25" customHeight="1" x14ac:dyDescent="0.3">
      <c r="B20" s="1" t="s">
        <v>259</v>
      </c>
      <c r="C20" s="91">
        <v>1228.3900000000001</v>
      </c>
      <c r="D20" s="22">
        <f>C20/C19-1</f>
        <v>-1.2190905070161961E-2</v>
      </c>
      <c r="G20" s="90">
        <v>18203.400000000001</v>
      </c>
      <c r="H20" s="22">
        <f>G20/G19-1</f>
        <v>-6.0825125035489647E-3</v>
      </c>
    </row>
    <row r="21" spans="2:8" ht="14.25" customHeight="1" x14ac:dyDescent="0.3">
      <c r="B21" s="1" t="s">
        <v>258</v>
      </c>
      <c r="C21" s="91">
        <v>1249.3</v>
      </c>
      <c r="D21" s="22">
        <f>C21/C20-1</f>
        <v>1.7022281197339506E-2</v>
      </c>
      <c r="G21" s="90">
        <v>18499.349999999999</v>
      </c>
      <c r="H21" s="22">
        <f>G21/G20-1</f>
        <v>1.6257951811200044E-2</v>
      </c>
    </row>
    <row r="22" spans="2:8" ht="14.25" customHeight="1" x14ac:dyDescent="0.3">
      <c r="B22" s="1" t="s">
        <v>257</v>
      </c>
      <c r="C22" s="91">
        <v>1307.3399999999999</v>
      </c>
      <c r="D22" s="22">
        <f>C22/C21-1</f>
        <v>4.6458016489233867E-2</v>
      </c>
      <c r="G22" s="90">
        <v>18534.099999999999</v>
      </c>
      <c r="H22" s="22">
        <f>G22/G21-1</f>
        <v>1.8784443777755122E-3</v>
      </c>
    </row>
    <row r="23" spans="2:8" ht="14.25" customHeight="1" x14ac:dyDescent="0.3">
      <c r="B23" s="1" t="s">
        <v>256</v>
      </c>
      <c r="C23" s="91">
        <v>1335.84</v>
      </c>
      <c r="D23" s="22">
        <f>C23/C22-1</f>
        <v>2.1799990821056436E-2</v>
      </c>
      <c r="G23" s="90">
        <v>18563.400000000001</v>
      </c>
      <c r="H23" s="22">
        <f>G23/G22-1</f>
        <v>1.5808698561032841E-3</v>
      </c>
    </row>
    <row r="24" spans="2:8" ht="14.25" customHeight="1" x14ac:dyDescent="0.3">
      <c r="B24" s="1" t="s">
        <v>255</v>
      </c>
      <c r="C24" s="91">
        <v>1368.2</v>
      </c>
      <c r="D24" s="22">
        <f>C24/C23-1</f>
        <v>2.4224458018924588E-2</v>
      </c>
      <c r="G24" s="90">
        <v>18826</v>
      </c>
      <c r="H24" s="22">
        <f>G24/G23-1</f>
        <v>1.4146115474535925E-2</v>
      </c>
    </row>
    <row r="25" spans="2:8" ht="14.25" customHeight="1" x14ac:dyDescent="0.3">
      <c r="B25" s="1" t="s">
        <v>254</v>
      </c>
      <c r="C25" s="91">
        <v>1338.38</v>
      </c>
      <c r="D25" s="22">
        <f>C25/C24-1</f>
        <v>-2.179505920187097E-2</v>
      </c>
      <c r="G25" s="90">
        <v>18665.5</v>
      </c>
      <c r="H25" s="22">
        <f>G25/G24-1</f>
        <v>-8.5254435355359703E-3</v>
      </c>
    </row>
    <row r="26" spans="2:8" ht="14.25" customHeight="1" x14ac:dyDescent="0.3">
      <c r="B26" s="1" t="s">
        <v>253</v>
      </c>
      <c r="C26" s="91">
        <v>1416.69</v>
      </c>
      <c r="D26" s="22">
        <f>C26/C25-1</f>
        <v>5.8511035729762906E-2</v>
      </c>
      <c r="G26" s="90">
        <v>19189.05</v>
      </c>
      <c r="H26" s="22">
        <f>G26/G25-1</f>
        <v>2.8049074495727355E-2</v>
      </c>
    </row>
    <row r="27" spans="2:8" ht="14.25" customHeight="1" x14ac:dyDescent="0.3">
      <c r="B27" s="1" t="s">
        <v>252</v>
      </c>
      <c r="C27" s="91">
        <v>1524.43</v>
      </c>
      <c r="D27" s="22">
        <f>C27/C26-1</f>
        <v>7.605051210921232E-2</v>
      </c>
      <c r="G27" s="90">
        <v>19331.8</v>
      </c>
      <c r="H27" s="22">
        <f>G27/G26-1</f>
        <v>7.4391384669902916E-3</v>
      </c>
    </row>
    <row r="28" spans="2:8" ht="14.25" customHeight="1" x14ac:dyDescent="0.3">
      <c r="B28" s="1" t="s">
        <v>251</v>
      </c>
      <c r="C28" s="91">
        <v>1507.28</v>
      </c>
      <c r="D28" s="22">
        <f>C28/C27-1</f>
        <v>-1.1250106597220033E-2</v>
      </c>
      <c r="G28" s="90">
        <v>19564.5</v>
      </c>
      <c r="H28" s="22">
        <f>G28/G27-1</f>
        <v>1.2037161567986399E-2</v>
      </c>
    </row>
    <row r="29" spans="2:8" ht="14.25" customHeight="1" x14ac:dyDescent="0.3">
      <c r="B29" s="1" t="s">
        <v>250</v>
      </c>
      <c r="C29" s="91">
        <v>1500.37</v>
      </c>
      <c r="D29" s="22">
        <f>C29/C28-1</f>
        <v>-4.5844169630062659E-3</v>
      </c>
      <c r="G29" s="90">
        <v>19745</v>
      </c>
      <c r="H29" s="22">
        <f>G29/G28-1</f>
        <v>9.225893838329613E-3</v>
      </c>
    </row>
    <row r="30" spans="2:8" ht="14.25" customHeight="1" x14ac:dyDescent="0.3">
      <c r="B30" s="1" t="s">
        <v>249</v>
      </c>
      <c r="C30" s="91">
        <v>1445.52</v>
      </c>
      <c r="D30" s="22">
        <f>C30/C29-1</f>
        <v>-3.6557649113218682E-2</v>
      </c>
      <c r="G30" s="90">
        <v>19646.05</v>
      </c>
      <c r="H30" s="22">
        <f>G30/G29-1</f>
        <v>-5.0113952899468739E-3</v>
      </c>
    </row>
    <row r="31" spans="2:8" ht="14.25" customHeight="1" x14ac:dyDescent="0.3">
      <c r="B31" s="1" t="s">
        <v>248</v>
      </c>
      <c r="C31" s="91">
        <v>1442.42</v>
      </c>
      <c r="D31" s="22">
        <f>C31/C30-1</f>
        <v>-2.144556976036216E-3</v>
      </c>
      <c r="G31" s="90">
        <v>19517</v>
      </c>
      <c r="H31" s="22">
        <f>G31/G30-1</f>
        <v>-6.568750461288575E-3</v>
      </c>
    </row>
    <row r="32" spans="2:8" ht="14.25" customHeight="1" x14ac:dyDescent="0.3">
      <c r="B32" s="1" t="s">
        <v>247</v>
      </c>
      <c r="C32" s="91">
        <v>1522.97</v>
      </c>
      <c r="D32" s="22">
        <f>C32/C31-1</f>
        <v>5.5843651640992142E-2</v>
      </c>
      <c r="G32" s="90">
        <v>19428.3</v>
      </c>
      <c r="H32" s="22">
        <f>G32/G31-1</f>
        <v>-4.5447558538710409E-3</v>
      </c>
    </row>
    <row r="33" spans="2:8" ht="14.25" customHeight="1" x14ac:dyDescent="0.3">
      <c r="B33" s="1" t="s">
        <v>246</v>
      </c>
      <c r="C33" s="91">
        <v>1529.08</v>
      </c>
      <c r="D33" s="22">
        <f>C33/C32-1</f>
        <v>4.0118978049468179E-3</v>
      </c>
      <c r="G33" s="90">
        <v>19310.150000000001</v>
      </c>
      <c r="H33" s="22">
        <f>G33/G32-1</f>
        <v>-6.0813349598265454E-3</v>
      </c>
    </row>
    <row r="34" spans="2:8" ht="14.25" customHeight="1" x14ac:dyDescent="0.3">
      <c r="B34" s="1" t="s">
        <v>245</v>
      </c>
      <c r="C34" s="91">
        <v>1496.97</v>
      </c>
      <c r="D34" s="22">
        <f>C34/C33-1</f>
        <v>-2.0999555288147009E-2</v>
      </c>
      <c r="G34" s="90">
        <v>19265.8</v>
      </c>
      <c r="H34" s="22">
        <f>G34/G33-1</f>
        <v>-2.2967196008317758E-3</v>
      </c>
    </row>
    <row r="35" spans="2:8" ht="14.25" customHeight="1" x14ac:dyDescent="0.3">
      <c r="B35" s="1" t="s">
        <v>244</v>
      </c>
      <c r="C35" s="91">
        <v>1567.78</v>
      </c>
      <c r="D35" s="22">
        <f>C35/C34-1</f>
        <v>4.7302217145300141E-2</v>
      </c>
      <c r="G35" s="90">
        <v>19435.3</v>
      </c>
      <c r="H35" s="22">
        <f>G35/G34-1</f>
        <v>8.7979736112697715E-3</v>
      </c>
    </row>
    <row r="36" spans="2:8" ht="14.25" customHeight="1" x14ac:dyDescent="0.3">
      <c r="B36" s="1" t="s">
        <v>243</v>
      </c>
      <c r="C36" s="91">
        <v>1543.75</v>
      </c>
      <c r="D36" s="22">
        <f>C36/C35-1</f>
        <v>-1.5327405630892077E-2</v>
      </c>
      <c r="G36" s="90">
        <v>19819.95</v>
      </c>
      <c r="H36" s="22">
        <f>G36/G35-1</f>
        <v>1.9791307569216876E-2</v>
      </c>
    </row>
    <row r="37" spans="2:8" ht="14.25" customHeight="1" x14ac:dyDescent="0.3">
      <c r="B37" s="1" t="s">
        <v>242</v>
      </c>
      <c r="C37" s="91">
        <v>1576.79</v>
      </c>
      <c r="D37" s="22">
        <f>C37/C36-1</f>
        <v>2.1402429149797619E-2</v>
      </c>
      <c r="G37" s="90">
        <v>20192.349999999999</v>
      </c>
      <c r="H37" s="22">
        <f>G37/G36-1</f>
        <v>1.8789149316723597E-2</v>
      </c>
    </row>
    <row r="38" spans="2:8" ht="14.25" customHeight="1" x14ac:dyDescent="0.3">
      <c r="B38" s="1" t="s">
        <v>241</v>
      </c>
      <c r="C38" s="91">
        <v>1582.75</v>
      </c>
      <c r="D38" s="22">
        <f>C38/C37-1</f>
        <v>3.779831175996895E-3</v>
      </c>
      <c r="G38" s="90">
        <v>19674.25</v>
      </c>
      <c r="H38" s="22">
        <f>G38/G37-1</f>
        <v>-2.5658231954180599E-2</v>
      </c>
    </row>
    <row r="39" spans="2:8" ht="14.25" customHeight="1" x14ac:dyDescent="0.3">
      <c r="B39" s="1" t="s">
        <v>240</v>
      </c>
      <c r="C39" s="91">
        <v>1530.66</v>
      </c>
      <c r="D39" s="22">
        <f>C39/C38-1</f>
        <v>-3.2911072500394822E-2</v>
      </c>
      <c r="G39" s="90">
        <v>19638.3</v>
      </c>
      <c r="H39" s="22">
        <f>G39/G38-1</f>
        <v>-1.8272615220402688E-3</v>
      </c>
    </row>
    <row r="40" spans="2:8" ht="14.25" customHeight="1" x14ac:dyDescent="0.3">
      <c r="B40" s="1" t="s">
        <v>239</v>
      </c>
      <c r="C40" s="91">
        <v>1525.34</v>
      </c>
      <c r="D40" s="22">
        <f>C40/C39-1</f>
        <v>-3.4756248938367929E-3</v>
      </c>
      <c r="G40" s="90">
        <v>19653.5</v>
      </c>
      <c r="H40" s="22">
        <f>G40/G39-1</f>
        <v>7.7399774929598486E-4</v>
      </c>
    </row>
    <row r="41" spans="2:8" ht="14.25" customHeight="1" x14ac:dyDescent="0.3">
      <c r="B41" s="1" t="s">
        <v>238</v>
      </c>
      <c r="C41" s="91">
        <v>1538.73</v>
      </c>
      <c r="D41" s="22">
        <f>C41/C40-1</f>
        <v>8.7783707239041942E-3</v>
      </c>
      <c r="G41" s="90">
        <v>19751.05</v>
      </c>
      <c r="H41" s="22">
        <f>G41/G40-1</f>
        <v>4.9634925076957881E-3</v>
      </c>
    </row>
    <row r="42" spans="2:8" ht="14.25" customHeight="1" x14ac:dyDescent="0.3">
      <c r="B42" s="1" t="s">
        <v>237</v>
      </c>
      <c r="C42" s="91">
        <v>1534.59</v>
      </c>
      <c r="D42" s="22">
        <f>C42/C41-1</f>
        <v>-2.6905305024274018E-3</v>
      </c>
      <c r="G42" s="90">
        <v>19542.650000000001</v>
      </c>
      <c r="H42" s="22">
        <f>G42/G41-1</f>
        <v>-1.0551337776978809E-2</v>
      </c>
    </row>
    <row r="43" spans="2:8" ht="14.25" customHeight="1" x14ac:dyDescent="0.3">
      <c r="B43" s="1" t="s">
        <v>236</v>
      </c>
      <c r="C43" s="91">
        <v>1487.86</v>
      </c>
      <c r="D43" s="22">
        <f>C43/C42-1</f>
        <v>-3.0451130269322779E-2</v>
      </c>
      <c r="G43" s="90">
        <v>19047.25</v>
      </c>
      <c r="H43" s="22">
        <f>G43/G42-1</f>
        <v>-2.5349683896503383E-2</v>
      </c>
    </row>
    <row r="44" spans="2:8" ht="14.25" customHeight="1" x14ac:dyDescent="0.3">
      <c r="B44" s="1" t="s">
        <v>235</v>
      </c>
      <c r="C44" s="91">
        <v>1446.7</v>
      </c>
      <c r="D44" s="22">
        <f>C44/C43-1</f>
        <v>-2.7663893108222481E-2</v>
      </c>
      <c r="G44" s="90">
        <v>19230.599999999999</v>
      </c>
      <c r="H44" s="22">
        <f>G44/G43-1</f>
        <v>9.6260615049414966E-3</v>
      </c>
    </row>
    <row r="45" spans="2:8" ht="14.25" customHeight="1" x14ac:dyDescent="0.3">
      <c r="B45" s="1" t="s">
        <v>234</v>
      </c>
      <c r="C45" s="91">
        <v>1500.96</v>
      </c>
      <c r="D45" s="22">
        <f>C45/C44-1</f>
        <v>3.750604824773629E-2</v>
      </c>
      <c r="G45" s="90">
        <v>19425.349999999999</v>
      </c>
      <c r="H45" s="22">
        <f>G45/G44-1</f>
        <v>1.0127089118384225E-2</v>
      </c>
    </row>
    <row r="46" spans="2:8" ht="14.25" customHeight="1" x14ac:dyDescent="0.3">
      <c r="B46" s="1" t="s">
        <v>233</v>
      </c>
      <c r="C46" s="91">
        <v>1560.5</v>
      </c>
      <c r="D46" s="22">
        <f>C46/C45-1</f>
        <v>3.9667945847990493E-2</v>
      </c>
      <c r="G46" s="90">
        <v>19731.8</v>
      </c>
      <c r="H46" s="22">
        <f>G46/G45-1</f>
        <v>1.5775777527818002E-2</v>
      </c>
    </row>
    <row r="47" spans="2:8" ht="14.25" customHeight="1" x14ac:dyDescent="0.3">
      <c r="B47" s="1" t="s">
        <v>232</v>
      </c>
      <c r="C47" s="91">
        <v>1529.62</v>
      </c>
      <c r="D47" s="22">
        <f>C47/C46-1</f>
        <v>-1.9788529317526504E-2</v>
      </c>
      <c r="G47" s="90">
        <v>19794.7</v>
      </c>
      <c r="H47" s="22">
        <f>G47/G46-1</f>
        <v>3.1877476966115648E-3</v>
      </c>
    </row>
    <row r="48" spans="2:8" ht="14.25" customHeight="1" x14ac:dyDescent="0.3">
      <c r="B48" s="1" t="s">
        <v>231</v>
      </c>
      <c r="C48" s="91">
        <v>1600.82</v>
      </c>
      <c r="D48" s="22">
        <f>C48/C47-1</f>
        <v>4.6547508531530779E-2</v>
      </c>
      <c r="G48" s="90">
        <v>20267.900000000001</v>
      </c>
      <c r="H48" s="22">
        <f>G48/G47-1</f>
        <v>2.3905388816198414E-2</v>
      </c>
    </row>
    <row r="49" spans="2:8" ht="14.25" customHeight="1" x14ac:dyDescent="0.3">
      <c r="B49" s="1" t="s">
        <v>230</v>
      </c>
      <c r="C49" s="91">
        <v>1643.22</v>
      </c>
      <c r="D49" s="22">
        <f>C49/C48-1</f>
        <v>2.6486425706825356E-2</v>
      </c>
      <c r="G49" s="90">
        <v>20969.400000000001</v>
      </c>
      <c r="H49" s="22">
        <f>G49/G48-1</f>
        <v>3.4611380557433069E-2</v>
      </c>
    </row>
    <row r="50" spans="2:8" ht="14.25" customHeight="1" x14ac:dyDescent="0.3">
      <c r="B50" s="1" t="s">
        <v>229</v>
      </c>
      <c r="C50" s="91">
        <v>1698.76</v>
      </c>
      <c r="D50" s="22">
        <f>C50/C49-1</f>
        <v>3.3799491242803681E-2</v>
      </c>
      <c r="G50" s="90">
        <v>21456.65</v>
      </c>
      <c r="H50" s="22">
        <f>G50/G49-1</f>
        <v>2.3236239472755438E-2</v>
      </c>
    </row>
    <row r="51" spans="2:8" ht="14.25" customHeight="1" x14ac:dyDescent="0.3">
      <c r="B51" s="1" t="s">
        <v>228</v>
      </c>
      <c r="C51" s="91">
        <v>1609.44</v>
      </c>
      <c r="D51" s="22">
        <f>C51/C50-1</f>
        <v>-5.2579528597329728E-2</v>
      </c>
      <c r="G51" s="90">
        <v>21349.4</v>
      </c>
      <c r="H51" s="22">
        <f>G51/G50-1</f>
        <v>-4.9984503638732525E-3</v>
      </c>
    </row>
    <row r="52" spans="2:8" ht="14.25" customHeight="1" x14ac:dyDescent="0.3">
      <c r="B52" s="1" t="s">
        <v>227</v>
      </c>
      <c r="C52" s="91">
        <v>1703.15</v>
      </c>
      <c r="D52" s="22">
        <f>C52/C51-1</f>
        <v>5.8225221194949883E-2</v>
      </c>
      <c r="G52" s="90">
        <v>21731.4</v>
      </c>
      <c r="H52" s="22">
        <f>G52/G51-1</f>
        <v>1.7892774504201459E-2</v>
      </c>
    </row>
    <row r="53" spans="2:8" ht="14.25" customHeight="1" x14ac:dyDescent="0.3">
      <c r="B53" s="1" t="s">
        <v>226</v>
      </c>
      <c r="C53" s="91">
        <v>1617.07</v>
      </c>
      <c r="D53" s="22">
        <f>C53/C52-1</f>
        <v>-5.0541643425417671E-2</v>
      </c>
      <c r="G53" s="90">
        <v>21710.799999999999</v>
      </c>
      <c r="H53" s="22">
        <f>G53/G52-1</f>
        <v>-9.479370864280412E-4</v>
      </c>
    </row>
    <row r="54" spans="2:8" ht="14.25" customHeight="1" x14ac:dyDescent="0.3">
      <c r="B54" s="1" t="s">
        <v>225</v>
      </c>
      <c r="C54" s="91">
        <v>1599.79</v>
      </c>
      <c r="D54" s="22">
        <f>C54/C53-1</f>
        <v>-1.0685993803607796E-2</v>
      </c>
      <c r="G54" s="90">
        <v>21894.55</v>
      </c>
      <c r="H54" s="22">
        <f>G54/G53-1</f>
        <v>8.4635296718684749E-3</v>
      </c>
    </row>
    <row r="55" spans="2:8" ht="14.25" customHeight="1" x14ac:dyDescent="0.3">
      <c r="B55" s="1" t="s">
        <v>224</v>
      </c>
      <c r="C55" s="91">
        <v>1630.42</v>
      </c>
      <c r="D55" s="22">
        <f>C55/C54-1</f>
        <v>1.9146262947011827E-2</v>
      </c>
      <c r="G55" s="90">
        <v>21622.400000000001</v>
      </c>
      <c r="H55" s="22">
        <f>G55/G54-1</f>
        <v>-1.2430033958222397E-2</v>
      </c>
    </row>
    <row r="56" spans="2:8" ht="14.25" customHeight="1" x14ac:dyDescent="0.3">
      <c r="B56" s="1" t="s">
        <v>223</v>
      </c>
      <c r="C56" s="91">
        <v>1610.67</v>
      </c>
      <c r="D56" s="22">
        <f>C56/C55-1</f>
        <v>-1.2113443161884674E-2</v>
      </c>
      <c r="G56" s="90">
        <v>21352.6</v>
      </c>
      <c r="H56" s="22">
        <f>G56/G55-1</f>
        <v>-1.2477800799171379E-2</v>
      </c>
    </row>
    <row r="57" spans="2:8" ht="14.25" customHeight="1" x14ac:dyDescent="0.3">
      <c r="B57" s="1" t="s">
        <v>222</v>
      </c>
      <c r="C57" s="91">
        <v>1635.54</v>
      </c>
      <c r="D57" s="22">
        <f>C57/C56-1</f>
        <v>1.54407793030229E-2</v>
      </c>
      <c r="G57" s="90">
        <v>21853.8</v>
      </c>
      <c r="H57" s="22">
        <f>G57/G56-1</f>
        <v>2.3472551352060167E-2</v>
      </c>
    </row>
    <row r="58" spans="2:8" ht="14.25" customHeight="1" x14ac:dyDescent="0.3">
      <c r="B58" s="1" t="s">
        <v>221</v>
      </c>
      <c r="C58" s="91">
        <v>1621.41</v>
      </c>
      <c r="D58" s="22">
        <f>C58/C57-1</f>
        <v>-8.6393484720641567E-3</v>
      </c>
      <c r="G58" s="90">
        <v>21782.5</v>
      </c>
      <c r="H58" s="22">
        <f>G58/G57-1</f>
        <v>-3.2625904876955047E-3</v>
      </c>
    </row>
    <row r="59" spans="2:8" ht="14.25" customHeight="1" x14ac:dyDescent="0.3">
      <c r="B59" s="1" t="s">
        <v>220</v>
      </c>
      <c r="C59" s="91">
        <v>1807.68</v>
      </c>
      <c r="D59" s="22">
        <f>C59/C58-1</f>
        <v>0.11488149203471054</v>
      </c>
      <c r="G59" s="90">
        <v>22040.7</v>
      </c>
      <c r="H59" s="22">
        <f>G59/G58-1</f>
        <v>1.1853552163433978E-2</v>
      </c>
    </row>
    <row r="60" spans="2:8" ht="14.25" customHeight="1" x14ac:dyDescent="0.3">
      <c r="B60" s="1" t="s">
        <v>219</v>
      </c>
      <c r="C60" s="91">
        <v>1900.65</v>
      </c>
      <c r="D60" s="22">
        <f>C60/C59-1</f>
        <v>5.1430562931492396E-2</v>
      </c>
      <c r="G60" s="90">
        <v>22212.7</v>
      </c>
      <c r="H60" s="22">
        <f>G60/G59-1</f>
        <v>7.8037448901351336E-3</v>
      </c>
    </row>
    <row r="61" spans="2:8" ht="14.25" customHeight="1" x14ac:dyDescent="0.3">
      <c r="B61" s="1" t="s">
        <v>218</v>
      </c>
      <c r="C61" s="91">
        <v>1943</v>
      </c>
      <c r="D61" s="22">
        <f>C61/C60-1</f>
        <v>2.2281850945728987E-2</v>
      </c>
      <c r="G61" s="90">
        <v>22338.75</v>
      </c>
      <c r="H61" s="22">
        <f>G61/G60-1</f>
        <v>5.6746816010659895E-3</v>
      </c>
    </row>
    <row r="62" spans="2:8" ht="14.25" customHeight="1" x14ac:dyDescent="0.3">
      <c r="B62" s="1" t="s">
        <v>217</v>
      </c>
      <c r="C62" s="91">
        <v>1868.74</v>
      </c>
      <c r="D62" s="22">
        <f>C62/C61-1</f>
        <v>-3.8219248584662857E-2</v>
      </c>
      <c r="G62" s="90">
        <v>22493.55</v>
      </c>
      <c r="H62" s="22">
        <f>G62/G61-1</f>
        <v>6.929662581836471E-3</v>
      </c>
    </row>
    <row r="63" spans="2:8" ht="14.25" customHeight="1" x14ac:dyDescent="0.3">
      <c r="B63" s="1" t="s">
        <v>216</v>
      </c>
      <c r="C63" s="91">
        <v>1772.18</v>
      </c>
      <c r="D63" s="22">
        <f>C63/C62-1</f>
        <v>-5.1671179511328491E-2</v>
      </c>
      <c r="G63" s="90">
        <v>22023.35</v>
      </c>
      <c r="H63" s="22">
        <f>G63/G62-1</f>
        <v>-2.0903770191899484E-2</v>
      </c>
    </row>
    <row r="64" spans="2:8" ht="14.25" customHeight="1" x14ac:dyDescent="0.3">
      <c r="B64" s="1" t="s">
        <v>215</v>
      </c>
      <c r="C64" s="91">
        <v>1850.28</v>
      </c>
      <c r="D64" s="22">
        <f>C64/C63-1</f>
        <v>4.4070015461183276E-2</v>
      </c>
      <c r="G64" s="90">
        <v>22096.75</v>
      </c>
      <c r="H64" s="22">
        <f>G64/G63-1</f>
        <v>3.3328262957270649E-3</v>
      </c>
    </row>
    <row r="65" spans="2:8" ht="14.25" customHeight="1" x14ac:dyDescent="0.3">
      <c r="B65" s="1" t="s">
        <v>214</v>
      </c>
      <c r="C65" s="91">
        <v>1892.18</v>
      </c>
      <c r="D65" s="22">
        <f>C65/C64-1</f>
        <v>2.2645221263808857E-2</v>
      </c>
      <c r="G65" s="90">
        <v>22326.9</v>
      </c>
      <c r="H65" s="22">
        <f>G65/G64-1</f>
        <v>1.0415558849152129E-2</v>
      </c>
    </row>
    <row r="66" spans="2:8" ht="14.25" customHeight="1" x14ac:dyDescent="0.3">
      <c r="B66" s="1" t="s">
        <v>213</v>
      </c>
      <c r="C66" s="91">
        <v>1982.74</v>
      </c>
      <c r="D66" s="22">
        <f>C66/C65-1</f>
        <v>4.7860140155799202E-2</v>
      </c>
      <c r="G66" s="90">
        <v>22513.7</v>
      </c>
      <c r="H66" s="22">
        <f>G66/G65-1</f>
        <v>8.3665891816597782E-3</v>
      </c>
    </row>
    <row r="67" spans="2:8" ht="14.25" customHeight="1" x14ac:dyDescent="0.3">
      <c r="B67" s="1" t="s">
        <v>212</v>
      </c>
      <c r="C67" s="91">
        <v>2039.51</v>
      </c>
      <c r="D67" s="22">
        <f>C67/C66-1</f>
        <v>2.8632094979674561E-2</v>
      </c>
      <c r="G67" s="90">
        <v>22519.4</v>
      </c>
      <c r="H67" s="22">
        <f>G67/G66-1</f>
        <v>2.5317917534661838E-4</v>
      </c>
    </row>
    <row r="68" spans="2:8" ht="14.25" customHeight="1" x14ac:dyDescent="0.3">
      <c r="B68" s="1" t="s">
        <v>211</v>
      </c>
      <c r="C68" s="91">
        <v>2051.2800000000002</v>
      </c>
      <c r="D68" s="22">
        <f>C68/C67-1</f>
        <v>5.7709940132679716E-3</v>
      </c>
      <c r="G68" s="90">
        <v>22147</v>
      </c>
      <c r="H68" s="22">
        <f>G68/G67-1</f>
        <v>-1.6536852669254087E-2</v>
      </c>
    </row>
    <row r="69" spans="2:8" ht="14.25" customHeight="1" x14ac:dyDescent="0.3">
      <c r="B69" s="1" t="s">
        <v>210</v>
      </c>
      <c r="C69" s="91">
        <v>2013.86</v>
      </c>
      <c r="D69" s="22">
        <f>C69/C68-1</f>
        <v>-1.8242268242268378E-2</v>
      </c>
      <c r="G69" s="90">
        <v>22419.95</v>
      </c>
      <c r="H69" s="22">
        <f>G69/G68-1</f>
        <v>1.2324468325281002E-2</v>
      </c>
    </row>
    <row r="70" spans="2:8" ht="14.25" customHeight="1" x14ac:dyDescent="0.3">
      <c r="B70" s="1" t="s">
        <v>209</v>
      </c>
      <c r="C70" s="91">
        <v>2159.71</v>
      </c>
      <c r="D70" s="22">
        <f>C70/C69-1</f>
        <v>7.2423107862512826E-2</v>
      </c>
      <c r="G70" s="90">
        <v>22475.85</v>
      </c>
      <c r="H70" s="22">
        <f>G70/G69-1</f>
        <v>2.4933151055197555E-3</v>
      </c>
    </row>
    <row r="71" spans="2:8" ht="14.25" customHeight="1" x14ac:dyDescent="0.3">
      <c r="B71" s="1" t="s">
        <v>208</v>
      </c>
      <c r="C71" s="91">
        <v>2159.7600000000002</v>
      </c>
      <c r="D71" s="22">
        <f>C71/C70-1</f>
        <v>2.3151256418829647E-5</v>
      </c>
      <c r="G71" s="90">
        <v>22055.200000000001</v>
      </c>
      <c r="H71" s="22">
        <f>G71/G70-1</f>
        <v>-1.8715643679771743E-2</v>
      </c>
    </row>
    <row r="72" spans="2:8" ht="14.25" customHeight="1" x14ac:dyDescent="0.3">
      <c r="B72" s="1" t="s">
        <v>207</v>
      </c>
      <c r="C72" s="91">
        <v>2465.69</v>
      </c>
      <c r="D72" s="22">
        <f>C72/C71-1</f>
        <v>0.14164999814794221</v>
      </c>
      <c r="G72" s="90">
        <v>22466.1</v>
      </c>
      <c r="H72" s="22">
        <f>G72/G71-1</f>
        <v>1.8630527041241907E-2</v>
      </c>
    </row>
    <row r="73" spans="2:8" ht="14.25" customHeight="1" x14ac:dyDescent="0.3">
      <c r="B73" s="1" t="s">
        <v>206</v>
      </c>
      <c r="C73" s="91">
        <v>2540.59</v>
      </c>
      <c r="D73" s="22">
        <f>C73/C72-1</f>
        <v>3.0376892472289807E-2</v>
      </c>
      <c r="G73" s="90">
        <v>22957.1</v>
      </c>
      <c r="H73" s="22">
        <f>G73/G72-1</f>
        <v>2.1855150649200406E-2</v>
      </c>
    </row>
    <row r="74" spans="2:8" ht="14.25" customHeight="1" x14ac:dyDescent="0.3">
      <c r="B74" s="1" t="s">
        <v>205</v>
      </c>
      <c r="C74" s="91">
        <v>2468.1999999999998</v>
      </c>
      <c r="D74" s="22">
        <f>C74/C73-1</f>
        <v>-2.8493381458637668E-2</v>
      </c>
      <c r="G74" s="90">
        <v>22530.7</v>
      </c>
      <c r="H74" s="22">
        <f>G74/G73-1</f>
        <v>-1.8573774562117951E-2</v>
      </c>
    </row>
    <row r="75" spans="2:8" ht="14.25" customHeight="1" x14ac:dyDescent="0.3">
      <c r="B75" s="1" t="s">
        <v>204</v>
      </c>
      <c r="C75" s="91">
        <v>2814.07</v>
      </c>
      <c r="D75" s="22">
        <f>C75/C74-1</f>
        <v>0.1401304594441295</v>
      </c>
      <c r="G75" s="90">
        <v>23290.15</v>
      </c>
      <c r="H75" s="22">
        <f>G75/G74-1</f>
        <v>3.3707341538434354E-2</v>
      </c>
    </row>
    <row r="76" spans="2:8" ht="14.25" customHeight="1" x14ac:dyDescent="0.3">
      <c r="B76" s="1" t="s">
        <v>203</v>
      </c>
      <c r="C76" s="91">
        <v>2884.14</v>
      </c>
      <c r="D76" s="22">
        <f>C76/C75-1</f>
        <v>2.489987811248473E-2</v>
      </c>
      <c r="G76" s="90">
        <v>23465.599999999999</v>
      </c>
      <c r="H76" s="22">
        <f>G76/G75-1</f>
        <v>7.5332275661599279E-3</v>
      </c>
    </row>
    <row r="77" spans="2:8" ht="14.25" customHeight="1" x14ac:dyDescent="0.3">
      <c r="B77" s="1" t="s">
        <v>202</v>
      </c>
      <c r="C77" s="91">
        <v>2796.84</v>
      </c>
      <c r="D77" s="22">
        <f>C77/C76-1</f>
        <v>-3.0268988329276603E-2</v>
      </c>
      <c r="G77" s="90">
        <v>23501.1</v>
      </c>
      <c r="H77" s="22">
        <f>G77/G76-1</f>
        <v>1.5128528569481325E-3</v>
      </c>
    </row>
    <row r="78" spans="2:8" ht="14.25" customHeight="1" x14ac:dyDescent="0.3">
      <c r="B78" s="1" t="s">
        <v>201</v>
      </c>
      <c r="C78" s="91">
        <v>2823.13</v>
      </c>
      <c r="D78" s="22">
        <f>C78/C77-1</f>
        <v>9.3998941662734037E-3</v>
      </c>
      <c r="G78" s="90">
        <v>24010.6</v>
      </c>
      <c r="H78" s="22">
        <f>G78/G77-1</f>
        <v>2.1679836262983532E-2</v>
      </c>
    </row>
    <row r="79" spans="2:8" ht="14.25" customHeight="1" x14ac:dyDescent="0.3">
      <c r="B79" s="1" t="s">
        <v>200</v>
      </c>
      <c r="C79" s="91">
        <v>2836.87</v>
      </c>
      <c r="D79" s="22">
        <f>C79/C78-1</f>
        <v>4.8669384690041007E-3</v>
      </c>
      <c r="G79" s="90">
        <v>24323.85</v>
      </c>
      <c r="H79" s="22">
        <f>G79/G78-1</f>
        <v>1.3046321208133094E-2</v>
      </c>
    </row>
    <row r="80" spans="2:8" ht="14.25" customHeight="1" x14ac:dyDescent="0.3">
      <c r="B80" s="1" t="s">
        <v>199</v>
      </c>
      <c r="C80" s="91">
        <v>2682.4</v>
      </c>
      <c r="D80" s="22">
        <f>C80/C79-1</f>
        <v>-5.4450856049096275E-2</v>
      </c>
      <c r="G80" s="90">
        <v>24502.15</v>
      </c>
      <c r="H80" s="22">
        <f>G80/G79-1</f>
        <v>7.3302540510651326E-3</v>
      </c>
    </row>
    <row r="81" spans="2:8" ht="14.25" customHeight="1" x14ac:dyDescent="0.3">
      <c r="B81" s="1" t="s">
        <v>198</v>
      </c>
      <c r="C81" s="91">
        <v>2727.39</v>
      </c>
      <c r="D81" s="22">
        <f>C81/C80-1</f>
        <v>1.6772293468535482E-2</v>
      </c>
      <c r="G81" s="90">
        <v>24530.9</v>
      </c>
      <c r="H81" s="22">
        <f>G81/G80-1</f>
        <v>1.1733664188653403E-3</v>
      </c>
    </row>
    <row r="82" spans="2:8" ht="14.25" customHeight="1" x14ac:dyDescent="0.3">
      <c r="B82" s="1" t="s">
        <v>197</v>
      </c>
      <c r="C82" s="91">
        <v>2864.78</v>
      </c>
      <c r="D82" s="22">
        <f>C82/C81-1</f>
        <v>5.037416724414201E-2</v>
      </c>
      <c r="G82" s="90">
        <v>24834.85</v>
      </c>
      <c r="H82" s="22">
        <f>G82/G81-1</f>
        <v>1.2390495252925682E-2</v>
      </c>
    </row>
    <row r="83" spans="2:8" ht="14.25" customHeight="1" x14ac:dyDescent="0.3">
      <c r="B83" s="1" t="s">
        <v>196</v>
      </c>
      <c r="C83" s="91">
        <v>2727.74</v>
      </c>
      <c r="D83" s="22">
        <f>C83/C82-1</f>
        <v>-4.7836134013781284E-2</v>
      </c>
      <c r="G83" s="90">
        <v>24717.7</v>
      </c>
      <c r="H83" s="22">
        <f>G83/G82-1</f>
        <v>-4.7171615693268887E-3</v>
      </c>
    </row>
    <row r="84" spans="2:8" ht="14.25" customHeight="1" x14ac:dyDescent="0.3">
      <c r="B84" s="1" t="s">
        <v>195</v>
      </c>
      <c r="C84" s="91">
        <v>2727.24</v>
      </c>
      <c r="D84" s="22">
        <f>C84/C83-1</f>
        <v>-1.8330192760307451E-4</v>
      </c>
      <c r="G84" s="90">
        <v>24367.5</v>
      </c>
      <c r="H84" s="22">
        <f>G84/G83-1</f>
        <v>-1.4167984885325113E-2</v>
      </c>
    </row>
    <row r="85" spans="2:8" ht="14.25" customHeight="1" x14ac:dyDescent="0.3">
      <c r="B85" s="1" t="s">
        <v>194</v>
      </c>
      <c r="C85" s="91">
        <v>2817.81</v>
      </c>
      <c r="D85" s="22">
        <f>C85/C84-1</f>
        <v>3.3209398512782151E-2</v>
      </c>
      <c r="G85" s="90">
        <v>24541.15</v>
      </c>
      <c r="H85" s="22">
        <f>G85/G84-1</f>
        <v>7.1262952703396998E-3</v>
      </c>
    </row>
    <row r="86" spans="2:8" ht="14.25" customHeight="1" x14ac:dyDescent="0.3">
      <c r="B86" s="1" t="s">
        <v>193</v>
      </c>
      <c r="C86" s="91">
        <v>2737.01</v>
      </c>
      <c r="D86" s="22">
        <f>C86/C85-1</f>
        <v>-2.867475095907801E-2</v>
      </c>
      <c r="G86" s="90">
        <v>24823.15</v>
      </c>
      <c r="H86" s="22">
        <f>G86/G85-1</f>
        <v>1.1490904052988471E-2</v>
      </c>
    </row>
    <row r="87" spans="2:8" ht="14.25" customHeight="1" x14ac:dyDescent="0.3">
      <c r="B87" s="1" t="s">
        <v>192</v>
      </c>
      <c r="C87" s="91">
        <v>2783.04</v>
      </c>
      <c r="D87" s="22">
        <f>C87/C86-1</f>
        <v>1.6817622149718048E-2</v>
      </c>
      <c r="G87" s="90">
        <v>25235.9</v>
      </c>
      <c r="H87" s="22">
        <f>G87/G86-1</f>
        <v>1.6627623810837822E-2</v>
      </c>
    </row>
    <row r="88" spans="2:8" ht="14.25" customHeight="1" x14ac:dyDescent="0.3">
      <c r="B88" s="1" t="s">
        <v>191</v>
      </c>
      <c r="C88" s="91">
        <v>2676.6</v>
      </c>
      <c r="D88" s="22">
        <f>C88/C87-1</f>
        <v>-3.8245946878233905E-2</v>
      </c>
      <c r="G88" s="90">
        <v>24852.15</v>
      </c>
      <c r="H88" s="22">
        <f>G88/G87-1</f>
        <v>-1.5206511358818231E-2</v>
      </c>
    </row>
    <row r="89" spans="2:8" ht="14.25" customHeight="1" x14ac:dyDescent="0.3">
      <c r="B89" s="1" t="s">
        <v>190</v>
      </c>
      <c r="C89" s="91">
        <v>2717.27</v>
      </c>
      <c r="D89" s="22">
        <f>C89/C88-1</f>
        <v>1.5194649929014536E-2</v>
      </c>
      <c r="G89" s="90">
        <v>25356.5</v>
      </c>
      <c r="H89" s="22">
        <f>G89/G88-1</f>
        <v>2.0294018827344829E-2</v>
      </c>
    </row>
    <row r="90" spans="2:8" ht="14.25" customHeight="1" x14ac:dyDescent="0.3">
      <c r="B90" s="1" t="s">
        <v>189</v>
      </c>
      <c r="C90" s="91">
        <v>2927.33</v>
      </c>
      <c r="D90" s="22">
        <f>C90/C89-1</f>
        <v>7.7305530918900134E-2</v>
      </c>
      <c r="G90" s="90">
        <v>25790.95</v>
      </c>
      <c r="H90" s="22">
        <f>G90/G89-1</f>
        <v>1.7133673811448702E-2</v>
      </c>
    </row>
    <row r="91" spans="2:8" ht="14.25" customHeight="1" x14ac:dyDescent="0.3">
      <c r="B91" s="1" t="s">
        <v>188</v>
      </c>
      <c r="C91" s="91">
        <v>3158.28</v>
      </c>
      <c r="D91" s="22">
        <f>C91/C90-1</f>
        <v>7.8894419146457784E-2</v>
      </c>
      <c r="G91" s="90">
        <v>26178.95</v>
      </c>
      <c r="H91" s="22">
        <f>G91/G90-1</f>
        <v>1.5044036764834123E-2</v>
      </c>
    </row>
    <row r="92" spans="2:8" ht="14.25" customHeight="1" x14ac:dyDescent="0.3">
      <c r="B92" s="1" t="s">
        <v>187</v>
      </c>
      <c r="C92" s="91">
        <v>2993.4</v>
      </c>
      <c r="D92" s="22">
        <f>C92/C91-1</f>
        <v>-5.2205630913028656E-2</v>
      </c>
      <c r="G92" s="90">
        <v>25014.6</v>
      </c>
      <c r="H92" s="22">
        <f>G92/G91-1</f>
        <v>-4.4476573735768743E-2</v>
      </c>
    </row>
    <row r="93" spans="2:8" ht="14.25" customHeight="1" x14ac:dyDescent="0.3">
      <c r="B93" s="1" t="s">
        <v>186</v>
      </c>
      <c r="C93" s="91">
        <v>3109.37</v>
      </c>
      <c r="D93" s="22">
        <f>C93/C92-1</f>
        <v>3.8741898844123712E-2</v>
      </c>
      <c r="G93" s="90">
        <v>24964.25</v>
      </c>
      <c r="H93" s="22">
        <f>G93/G92-1</f>
        <v>-2.0128245104857889E-3</v>
      </c>
    </row>
    <row r="94" spans="2:8" ht="14.25" customHeight="1" x14ac:dyDescent="0.3">
      <c r="B94" s="1" t="s">
        <v>185</v>
      </c>
      <c r="C94" s="91">
        <v>2940.62</v>
      </c>
      <c r="D94" s="22">
        <f>C94/C93-1</f>
        <v>-5.4271444054583395E-2</v>
      </c>
      <c r="G94" s="90">
        <v>24854.05</v>
      </c>
      <c r="H94" s="22">
        <f>G94/G93-1</f>
        <v>-4.4143124668275524E-3</v>
      </c>
    </row>
    <row r="95" spans="2:8" ht="14.25" customHeight="1" x14ac:dyDescent="0.3">
      <c r="B95" s="1" t="s">
        <v>184</v>
      </c>
      <c r="C95" s="91">
        <v>2699.16</v>
      </c>
      <c r="D95" s="22">
        <f>C95/C94-1</f>
        <v>-8.2111935578211392E-2</v>
      </c>
      <c r="G95" s="90">
        <v>24180.799999999999</v>
      </c>
      <c r="H95" s="22">
        <f>G95/G94-1</f>
        <v>-2.7088140564616281E-2</v>
      </c>
    </row>
    <row r="96" spans="2:8" ht="14.25" customHeight="1" x14ac:dyDescent="0.3">
      <c r="B96" s="1" t="s">
        <v>183</v>
      </c>
      <c r="C96" s="91">
        <v>2795.19</v>
      </c>
      <c r="D96" s="22">
        <f>C96/C95-1</f>
        <v>3.5577735295425406E-2</v>
      </c>
      <c r="G96" s="90">
        <v>24304.35</v>
      </c>
      <c r="H96" s="22">
        <f>G96/G95-1</f>
        <v>5.1094256600276999E-3</v>
      </c>
    </row>
    <row r="97" spans="2:8" ht="14.25" customHeight="1" x14ac:dyDescent="0.3">
      <c r="B97" s="1" t="s">
        <v>182</v>
      </c>
      <c r="C97" s="91">
        <v>2951.19</v>
      </c>
      <c r="D97" s="22">
        <f>C97/C96-1</f>
        <v>5.5810159595591102E-2</v>
      </c>
      <c r="G97" s="90">
        <v>24148.2</v>
      </c>
      <c r="H97" s="22">
        <f>G97/G96-1</f>
        <v>-6.4247758117372822E-3</v>
      </c>
    </row>
    <row r="98" spans="2:8" ht="14.25" customHeight="1" x14ac:dyDescent="0.3">
      <c r="B98" s="1" t="s">
        <v>181</v>
      </c>
      <c r="C98" s="91">
        <v>2784.83</v>
      </c>
      <c r="D98" s="22">
        <f>C98/C97-1</f>
        <v>-5.6370481060182498E-2</v>
      </c>
      <c r="G98" s="90">
        <v>23532.7</v>
      </c>
      <c r="H98" s="22">
        <f>G98/G97-1</f>
        <v>-2.5488442202731498E-2</v>
      </c>
    </row>
    <row r="99" spans="2:8" ht="14.25" customHeight="1" x14ac:dyDescent="0.3">
      <c r="B99" s="1" t="s">
        <v>180</v>
      </c>
      <c r="C99" s="91">
        <v>2988.94</v>
      </c>
      <c r="D99" s="22">
        <f>C99/C98-1</f>
        <v>7.3293522405317502E-2</v>
      </c>
      <c r="G99" s="90">
        <v>23907.25</v>
      </c>
      <c r="H99" s="22">
        <f>G99/G98-1</f>
        <v>1.5916150717937061E-2</v>
      </c>
    </row>
    <row r="100" spans="2:8" ht="14.25" customHeight="1" x14ac:dyDescent="0.3">
      <c r="B100" s="1" t="s">
        <v>179</v>
      </c>
      <c r="C100" s="91">
        <v>2942.46</v>
      </c>
      <c r="D100" s="22">
        <f>C100/C99-1</f>
        <v>-1.5550663445903945E-2</v>
      </c>
      <c r="G100" s="90">
        <v>24131.1</v>
      </c>
      <c r="H100" s="22">
        <f>G100/G99-1</f>
        <v>9.3632684645870157E-3</v>
      </c>
    </row>
    <row r="101" spans="2:8" ht="14.25" customHeight="1" x14ac:dyDescent="0.3">
      <c r="B101" s="1" t="s">
        <v>178</v>
      </c>
      <c r="C101" s="91">
        <v>3048.51</v>
      </c>
      <c r="D101" s="22">
        <f>C101/C100-1</f>
        <v>3.604127158907855E-2</v>
      </c>
      <c r="G101" s="90">
        <v>24677.8</v>
      </c>
      <c r="H101" s="22">
        <f>G101/G100-1</f>
        <v>2.2655411481449228E-2</v>
      </c>
    </row>
    <row r="102" spans="2:8" ht="14.25" customHeight="1" x14ac:dyDescent="0.3">
      <c r="B102" s="1" t="s">
        <v>177</v>
      </c>
      <c r="C102" s="91">
        <v>3056.84</v>
      </c>
      <c r="D102" s="22">
        <f>C102/C101-1</f>
        <v>2.7324824258407876E-3</v>
      </c>
      <c r="G102" s="90">
        <v>24768.3</v>
      </c>
      <c r="H102" s="22">
        <f>G102/G101-1</f>
        <v>3.6672636944945491E-3</v>
      </c>
    </row>
    <row r="103" spans="2:8" ht="14.25" customHeight="1" x14ac:dyDescent="0.3">
      <c r="B103" s="1" t="s">
        <v>176</v>
      </c>
      <c r="C103" s="91">
        <v>2883.19</v>
      </c>
      <c r="D103" s="22">
        <f>C103/C102-1</f>
        <v>-5.6807029481425242E-2</v>
      </c>
      <c r="G103" s="90">
        <v>23587.5</v>
      </c>
      <c r="H103" s="22">
        <f>G103/G102-1</f>
        <v>-4.7673841159869612E-2</v>
      </c>
    </row>
    <row r="104" spans="2:8" ht="14.25" customHeight="1" x14ac:dyDescent="0.3">
      <c r="B104" s="1" t="s">
        <v>175</v>
      </c>
      <c r="C104" s="91">
        <v>3025.15</v>
      </c>
      <c r="D104" s="22">
        <f>C104/C103-1</f>
        <v>4.9237129707025984E-2</v>
      </c>
      <c r="G104" s="90">
        <v>23813.4</v>
      </c>
      <c r="H104" s="22">
        <f>G104/G103-1</f>
        <v>9.5771065182830295E-3</v>
      </c>
    </row>
    <row r="105" spans="2:8" ht="14.25" customHeight="1" x14ac:dyDescent="0.3">
      <c r="B105" s="1" t="s">
        <v>174</v>
      </c>
      <c r="C105" s="91">
        <v>3165.12</v>
      </c>
      <c r="D105" s="22">
        <f>C105/C104-1</f>
        <v>4.6268780060492842E-2</v>
      </c>
      <c r="G105" s="90">
        <v>24004.75</v>
      </c>
      <c r="H105" s="22">
        <f>G105/G104-1</f>
        <v>8.035391838208783E-3</v>
      </c>
    </row>
    <row r="106" spans="2:8" ht="14.25" customHeight="1" x14ac:dyDescent="0.3">
      <c r="B106" s="1" t="s">
        <v>173</v>
      </c>
      <c r="C106" s="91">
        <v>3068.2</v>
      </c>
      <c r="D106" s="22">
        <f>C106/C105-1</f>
        <v>-3.0621271863310096E-2</v>
      </c>
      <c r="G106" s="90">
        <v>23431.5</v>
      </c>
      <c r="H106" s="22">
        <f>G106/G105-1</f>
        <v>-2.3880690280048689E-2</v>
      </c>
    </row>
    <row r="107" spans="2:8" ht="14.25" customHeight="1" x14ac:dyDescent="0.3">
      <c r="B107" s="1" t="s">
        <v>172</v>
      </c>
      <c r="C107" s="91">
        <v>2894.1</v>
      </c>
      <c r="D107" s="22">
        <f>C107/C106-1</f>
        <v>-5.6743367446711379E-2</v>
      </c>
      <c r="G107" s="90">
        <v>23203.200000000001</v>
      </c>
      <c r="H107" s="22">
        <f>G107/G106-1</f>
        <v>-9.7432942833365344E-3</v>
      </c>
    </row>
    <row r="108" spans="2:8" ht="14.25" customHeight="1" x14ac:dyDescent="0.3">
      <c r="B108" s="1" t="s">
        <v>171</v>
      </c>
      <c r="C108" s="91">
        <v>2779.07</v>
      </c>
      <c r="D108" s="22">
        <f>C108/C107-1</f>
        <v>-3.9746380567361128E-2</v>
      </c>
      <c r="G108" s="90">
        <v>23092.2</v>
      </c>
      <c r="H108" s="22">
        <f>G108/G107-1</f>
        <v>-4.7838229209764549E-3</v>
      </c>
    </row>
    <row r="109" spans="2:8" ht="14.25" customHeight="1" x14ac:dyDescent="0.3">
      <c r="B109" s="1" t="s">
        <v>170</v>
      </c>
      <c r="C109" s="91">
        <v>3052.23</v>
      </c>
      <c r="D109" s="22">
        <f>C109/C108-1</f>
        <v>9.8291874619926833E-2</v>
      </c>
      <c r="G109" s="90">
        <v>23482.15</v>
      </c>
      <c r="H109" s="22">
        <f>G109/G108-1</f>
        <v>1.6886654368141629E-2</v>
      </c>
    </row>
    <row r="110" spans="2:8" ht="14.25" customHeight="1" x14ac:dyDescent="0.3">
      <c r="B110" s="1" t="s">
        <v>169</v>
      </c>
      <c r="C110" s="91">
        <v>3172.96</v>
      </c>
      <c r="D110" s="22">
        <f>C110/C109-1</f>
        <v>3.9554686245794057E-2</v>
      </c>
      <c r="G110" s="90">
        <v>23559.95</v>
      </c>
      <c r="H110" s="22">
        <f>G110/G109-1</f>
        <v>3.3131548857323612E-3</v>
      </c>
    </row>
    <row r="111" spans="2:8" ht="14.25" customHeight="1" x14ac:dyDescent="0.3">
      <c r="B111" s="1" t="s">
        <v>168</v>
      </c>
      <c r="C111" s="91">
        <v>2919.15</v>
      </c>
      <c r="D111" s="22">
        <f>C111/C110-1</f>
        <v>-7.9991553628157908E-2</v>
      </c>
      <c r="G111" s="90">
        <v>22929.25</v>
      </c>
      <c r="H111" s="22">
        <f>G111/G110-1</f>
        <v>-2.6770005878620329E-2</v>
      </c>
    </row>
    <row r="112" spans="2:8" ht="14.25" customHeight="1" x14ac:dyDescent="0.3">
      <c r="B112" s="1" t="s">
        <v>167</v>
      </c>
      <c r="C112" s="91">
        <v>2648.08</v>
      </c>
      <c r="D112" s="22">
        <f>C112/C111-1</f>
        <v>-9.2859222718942203E-2</v>
      </c>
      <c r="G112" s="90">
        <v>22795.9</v>
      </c>
      <c r="H112" s="22">
        <f>G112/G111-1</f>
        <v>-5.8157157342695331E-3</v>
      </c>
    </row>
    <row r="113" spans="2:8" ht="14.25" customHeight="1" x14ac:dyDescent="0.3">
      <c r="B113" s="1" t="s">
        <v>166</v>
      </c>
      <c r="C113" s="91">
        <v>2564.5</v>
      </c>
      <c r="D113" s="22">
        <f>C113/C112-1</f>
        <v>-3.1562490559197576E-2</v>
      </c>
      <c r="G113" s="90">
        <v>22124.7</v>
      </c>
      <c r="H113" s="22">
        <f>G113/G112-1</f>
        <v>-2.9443891226053842E-2</v>
      </c>
    </row>
  </sheetData>
  <mergeCells count="1">
    <mergeCell ref="B1:I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M&amp;M PROJECT 3 Statement</vt:lpstr>
      <vt:lpstr>Common size statement</vt:lpstr>
      <vt:lpstr>Ratio Analysis</vt:lpstr>
      <vt:lpstr>DCF (WACC)</vt:lpstr>
      <vt:lpstr>Beta-Regression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mengji</dc:creator>
  <cp:lastModifiedBy>vishal mengji</cp:lastModifiedBy>
  <dcterms:created xsi:type="dcterms:W3CDTF">2026-04-13T21:01:54Z</dcterms:created>
  <dcterms:modified xsi:type="dcterms:W3CDTF">2026-04-13T21:06:08Z</dcterms:modified>
</cp:coreProperties>
</file>